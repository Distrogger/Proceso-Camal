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idadplanta\Downloads\"/>
    </mc:Choice>
  </mc:AlternateContent>
  <xr:revisionPtr revIDLastSave="0" documentId="13_ncr:1_{3FB4B50C-75E6-4A42-A4A3-D6965BA88E7F}" xr6:coauthVersionLast="47" xr6:coauthVersionMax="47" xr10:uidLastSave="{00000000-0000-0000-0000-000000000000}"/>
  <bookViews>
    <workbookView xWindow="-120" yWindow="-120" windowWidth="20730" windowHeight="11040" xr2:uid="{5A9CD8AC-49C3-4C5B-9E1A-C8C35EB1DA3D}"/>
  </bookViews>
  <sheets>
    <sheet name="LÍNEA PRIMARIA - CERDOS" sheetId="1" r:id="rId1"/>
  </sheets>
  <definedNames>
    <definedName name="_xlnm._FilterDatabase" localSheetId="0" hidden="1">'LÍNEA PRIMARIA - CERDOS'!$A$1:$AH$187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11" i="1" l="1"/>
  <c r="AB311" i="1"/>
  <c r="AC311" i="1" s="1"/>
  <c r="AF311" i="1" s="1"/>
  <c r="N310" i="1" a="1"/>
  <c r="O310" i="1"/>
  <c r="R310" i="1"/>
  <c r="P310" i="1"/>
  <c r="Q310" i="1"/>
  <c r="AB238" i="1"/>
  <c r="AB239" i="1"/>
  <c r="AE239" i="1" s="1"/>
  <c r="AB240" i="1"/>
  <c r="AB241" i="1"/>
  <c r="AD241" i="1" s="1"/>
  <c r="AE241" i="1"/>
  <c r="AB242" i="1"/>
  <c r="AB243" i="1"/>
  <c r="AE243" i="1" s="1"/>
  <c r="AB244" i="1"/>
  <c r="AB245" i="1"/>
  <c r="AE245" i="1"/>
  <c r="AB246" i="1"/>
  <c r="AE246" i="1"/>
  <c r="AB247" i="1"/>
  <c r="AB248" i="1"/>
  <c r="AE248" i="1"/>
  <c r="AB249" i="1"/>
  <c r="AD249" i="1"/>
  <c r="AB250" i="1"/>
  <c r="AD250" i="1"/>
  <c r="AE250" i="1"/>
  <c r="AB251" i="1"/>
  <c r="AB252" i="1"/>
  <c r="AB253" i="1"/>
  <c r="AB254" i="1"/>
  <c r="AD254" i="1" s="1"/>
  <c r="AB255" i="1"/>
  <c r="AB256" i="1"/>
  <c r="AB257" i="1"/>
  <c r="AB258" i="1"/>
  <c r="AB259" i="1"/>
  <c r="AE259" i="1" s="1"/>
  <c r="AB260" i="1"/>
  <c r="AB261" i="1"/>
  <c r="AB262" i="1"/>
  <c r="AB263" i="1"/>
  <c r="AB264" i="1"/>
  <c r="AE264" i="1" s="1"/>
  <c r="AB265" i="1"/>
  <c r="AB266" i="1"/>
  <c r="AD266" i="1"/>
  <c r="AB267" i="1"/>
  <c r="AE267" i="1" s="1"/>
  <c r="AB268" i="1"/>
  <c r="AB269" i="1"/>
  <c r="AB270" i="1"/>
  <c r="AB271" i="1"/>
  <c r="AB272" i="1"/>
  <c r="AB273" i="1"/>
  <c r="AB274" i="1"/>
  <c r="AB275" i="1"/>
  <c r="AB276" i="1"/>
  <c r="AB277" i="1"/>
  <c r="AD277" i="1" s="1"/>
  <c r="AB278" i="1"/>
  <c r="AE278" i="1" s="1"/>
  <c r="AB279" i="1"/>
  <c r="AB280" i="1"/>
  <c r="AB281" i="1"/>
  <c r="AE281" i="1" s="1"/>
  <c r="AB282" i="1"/>
  <c r="AB283" i="1"/>
  <c r="AB284" i="1"/>
  <c r="AB285" i="1"/>
  <c r="AB286" i="1"/>
  <c r="AB287" i="1"/>
  <c r="AB288" i="1"/>
  <c r="AB289" i="1"/>
  <c r="AB290" i="1"/>
  <c r="AE290" i="1" s="1"/>
  <c r="AB291" i="1"/>
  <c r="AE291" i="1" s="1"/>
  <c r="AB292" i="1"/>
  <c r="AB293" i="1"/>
  <c r="AB294" i="1"/>
  <c r="AB295" i="1"/>
  <c r="AB296" i="1"/>
  <c r="AB297" i="1"/>
  <c r="AD297" i="1" s="1"/>
  <c r="AB298" i="1"/>
  <c r="AE298" i="1" s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A312" i="1"/>
  <c r="AB312" i="1"/>
  <c r="N248" i="1" a="1"/>
  <c r="O248" i="1"/>
  <c r="P248" i="1"/>
  <c r="Q248" i="1"/>
  <c r="R248" i="1"/>
  <c r="N249" i="1" a="1"/>
  <c r="O249" i="1"/>
  <c r="P249" i="1"/>
  <c r="Q249" i="1"/>
  <c r="R249" i="1"/>
  <c r="N250" i="1" a="1"/>
  <c r="O250" i="1"/>
  <c r="P250" i="1"/>
  <c r="Q250" i="1"/>
  <c r="R250" i="1"/>
  <c r="N251" i="1" a="1"/>
  <c r="O251" i="1"/>
  <c r="P251" i="1"/>
  <c r="Q251" i="1"/>
  <c r="R251" i="1"/>
  <c r="N252" i="1" a="1"/>
  <c r="O252" i="1"/>
  <c r="P252" i="1"/>
  <c r="Q252" i="1"/>
  <c r="R252" i="1"/>
  <c r="N253" i="1" a="1"/>
  <c r="O253" i="1"/>
  <c r="P253" i="1"/>
  <c r="Q253" i="1"/>
  <c r="R253" i="1"/>
  <c r="N254" i="1" a="1"/>
  <c r="O254" i="1"/>
  <c r="P254" i="1"/>
  <c r="Q254" i="1"/>
  <c r="R254" i="1"/>
  <c r="N255" i="1" a="1"/>
  <c r="O255" i="1"/>
  <c r="P255" i="1"/>
  <c r="Q255" i="1"/>
  <c r="R255" i="1"/>
  <c r="N256" i="1" a="1"/>
  <c r="O256" i="1"/>
  <c r="P256" i="1"/>
  <c r="Q256" i="1"/>
  <c r="R256" i="1"/>
  <c r="N257" i="1" a="1"/>
  <c r="O257" i="1"/>
  <c r="P257" i="1"/>
  <c r="Q257" i="1"/>
  <c r="R257" i="1"/>
  <c r="N258" i="1" a="1"/>
  <c r="O258" i="1"/>
  <c r="P258" i="1"/>
  <c r="Q258" i="1"/>
  <c r="R258" i="1"/>
  <c r="N259" i="1" a="1"/>
  <c r="O259" i="1"/>
  <c r="P259" i="1"/>
  <c r="Q259" i="1"/>
  <c r="R259" i="1"/>
  <c r="N260" i="1" a="1"/>
  <c r="O260" i="1"/>
  <c r="P260" i="1"/>
  <c r="Q260" i="1"/>
  <c r="R260" i="1"/>
  <c r="N261" i="1" a="1"/>
  <c r="O261" i="1"/>
  <c r="P261" i="1"/>
  <c r="Q261" i="1"/>
  <c r="R261" i="1"/>
  <c r="N262" i="1" a="1"/>
  <c r="O262" i="1"/>
  <c r="P262" i="1"/>
  <c r="Q262" i="1"/>
  <c r="R262" i="1"/>
  <c r="N263" i="1" a="1"/>
  <c r="O263" i="1"/>
  <c r="P263" i="1"/>
  <c r="Q263" i="1"/>
  <c r="R263" i="1"/>
  <c r="N264" i="1" a="1"/>
  <c r="O264" i="1"/>
  <c r="P264" i="1"/>
  <c r="Q264" i="1"/>
  <c r="R264" i="1"/>
  <c r="N265" i="1" a="1"/>
  <c r="O265" i="1"/>
  <c r="P265" i="1"/>
  <c r="Q265" i="1"/>
  <c r="R265" i="1"/>
  <c r="N266" i="1" a="1"/>
  <c r="O266" i="1"/>
  <c r="P266" i="1"/>
  <c r="Q266" i="1"/>
  <c r="R266" i="1"/>
  <c r="N267" i="1" a="1"/>
  <c r="O267" i="1"/>
  <c r="P267" i="1"/>
  <c r="Q267" i="1"/>
  <c r="R267" i="1"/>
  <c r="N268" i="1" a="1"/>
  <c r="O268" i="1"/>
  <c r="P268" i="1"/>
  <c r="Q268" i="1"/>
  <c r="R268" i="1"/>
  <c r="N269" i="1" a="1"/>
  <c r="O269" i="1"/>
  <c r="P269" i="1"/>
  <c r="Q269" i="1"/>
  <c r="R269" i="1"/>
  <c r="N270" i="1" a="1"/>
  <c r="O270" i="1"/>
  <c r="P270" i="1"/>
  <c r="Q270" i="1"/>
  <c r="R270" i="1"/>
  <c r="N271" i="1" a="1"/>
  <c r="O271" i="1"/>
  <c r="P271" i="1"/>
  <c r="Q271" i="1"/>
  <c r="R271" i="1"/>
  <c r="N272" i="1" a="1"/>
  <c r="O272" i="1"/>
  <c r="P272" i="1"/>
  <c r="Q272" i="1"/>
  <c r="R272" i="1"/>
  <c r="N273" i="1" a="1"/>
  <c r="O273" i="1"/>
  <c r="P273" i="1"/>
  <c r="Q273" i="1"/>
  <c r="R273" i="1"/>
  <c r="N274" i="1" a="1"/>
  <c r="O274" i="1"/>
  <c r="P274" i="1"/>
  <c r="Q274" i="1"/>
  <c r="R274" i="1"/>
  <c r="N275" i="1" a="1"/>
  <c r="O275" i="1"/>
  <c r="P275" i="1"/>
  <c r="Q275" i="1"/>
  <c r="R275" i="1"/>
  <c r="N276" i="1" a="1"/>
  <c r="O276" i="1"/>
  <c r="P276" i="1"/>
  <c r="Q276" i="1"/>
  <c r="R276" i="1"/>
  <c r="N277" i="1" a="1"/>
  <c r="O277" i="1"/>
  <c r="P277" i="1"/>
  <c r="Q277" i="1"/>
  <c r="R277" i="1"/>
  <c r="N278" i="1" a="1"/>
  <c r="O278" i="1"/>
  <c r="P278" i="1"/>
  <c r="Q278" i="1"/>
  <c r="R278" i="1"/>
  <c r="N279" i="1" a="1"/>
  <c r="O279" i="1"/>
  <c r="P279" i="1"/>
  <c r="Q279" i="1"/>
  <c r="R279" i="1"/>
  <c r="N280" i="1" a="1"/>
  <c r="O280" i="1"/>
  <c r="P280" i="1"/>
  <c r="Q280" i="1"/>
  <c r="R280" i="1"/>
  <c r="N281" i="1" a="1"/>
  <c r="O281" i="1"/>
  <c r="P281" i="1"/>
  <c r="Q281" i="1"/>
  <c r="R281" i="1"/>
  <c r="N282" i="1" a="1"/>
  <c r="O282" i="1"/>
  <c r="P282" i="1"/>
  <c r="Q282" i="1"/>
  <c r="R282" i="1"/>
  <c r="N283" i="1" a="1"/>
  <c r="O283" i="1"/>
  <c r="P283" i="1"/>
  <c r="Q283" i="1"/>
  <c r="R283" i="1"/>
  <c r="N284" i="1" a="1"/>
  <c r="O284" i="1"/>
  <c r="P284" i="1"/>
  <c r="Q284" i="1"/>
  <c r="R284" i="1"/>
  <c r="N285" i="1" a="1"/>
  <c r="O285" i="1"/>
  <c r="P285" i="1"/>
  <c r="Q285" i="1"/>
  <c r="R285" i="1"/>
  <c r="N286" i="1" a="1"/>
  <c r="O286" i="1"/>
  <c r="P286" i="1"/>
  <c r="Q286" i="1"/>
  <c r="R286" i="1"/>
  <c r="N287" i="1" a="1"/>
  <c r="O287" i="1"/>
  <c r="P287" i="1"/>
  <c r="Q287" i="1"/>
  <c r="R287" i="1"/>
  <c r="N288" i="1" a="1"/>
  <c r="O288" i="1"/>
  <c r="P288" i="1"/>
  <c r="Q288" i="1"/>
  <c r="R288" i="1"/>
  <c r="N289" i="1" a="1"/>
  <c r="O289" i="1"/>
  <c r="P289" i="1"/>
  <c r="Q289" i="1"/>
  <c r="R289" i="1"/>
  <c r="N290" i="1" a="1"/>
  <c r="O290" i="1"/>
  <c r="P290" i="1"/>
  <c r="Q290" i="1"/>
  <c r="R290" i="1"/>
  <c r="N291" i="1" a="1"/>
  <c r="O291" i="1"/>
  <c r="P291" i="1"/>
  <c r="Q291" i="1"/>
  <c r="R291" i="1"/>
  <c r="N292" i="1" a="1"/>
  <c r="O292" i="1"/>
  <c r="P292" i="1"/>
  <c r="Q292" i="1"/>
  <c r="R292" i="1"/>
  <c r="N293" i="1" a="1"/>
  <c r="O293" i="1"/>
  <c r="P293" i="1"/>
  <c r="Q293" i="1"/>
  <c r="R293" i="1"/>
  <c r="N294" i="1" a="1"/>
  <c r="O294" i="1"/>
  <c r="P294" i="1"/>
  <c r="Q294" i="1"/>
  <c r="R294" i="1"/>
  <c r="N295" i="1" a="1"/>
  <c r="O295" i="1"/>
  <c r="P295" i="1"/>
  <c r="Q295" i="1"/>
  <c r="R295" i="1"/>
  <c r="N296" i="1" a="1"/>
  <c r="O296" i="1"/>
  <c r="P296" i="1"/>
  <c r="Q296" i="1"/>
  <c r="R296" i="1"/>
  <c r="N297" i="1" a="1"/>
  <c r="O297" i="1"/>
  <c r="P297" i="1"/>
  <c r="Q297" i="1"/>
  <c r="R297" i="1"/>
  <c r="N298" i="1" a="1"/>
  <c r="O298" i="1"/>
  <c r="P298" i="1"/>
  <c r="Q298" i="1"/>
  <c r="R298" i="1"/>
  <c r="N299" i="1" a="1"/>
  <c r="O299" i="1"/>
  <c r="P299" i="1"/>
  <c r="Q299" i="1"/>
  <c r="R299" i="1"/>
  <c r="N300" i="1" a="1"/>
  <c r="O300" i="1"/>
  <c r="P300" i="1"/>
  <c r="Q300" i="1"/>
  <c r="R300" i="1"/>
  <c r="N301" i="1" a="1"/>
  <c r="O301" i="1"/>
  <c r="P301" i="1"/>
  <c r="Q301" i="1"/>
  <c r="R301" i="1"/>
  <c r="N302" i="1" a="1"/>
  <c r="O302" i="1"/>
  <c r="P302" i="1"/>
  <c r="Q302" i="1"/>
  <c r="R302" i="1"/>
  <c r="N303" i="1" a="1"/>
  <c r="O303" i="1"/>
  <c r="P303" i="1"/>
  <c r="Q303" i="1"/>
  <c r="R303" i="1"/>
  <c r="N304" i="1" a="1"/>
  <c r="O304" i="1"/>
  <c r="P304" i="1"/>
  <c r="Q304" i="1"/>
  <c r="R304" i="1"/>
  <c r="N305" i="1" a="1"/>
  <c r="O305" i="1"/>
  <c r="P305" i="1"/>
  <c r="Q305" i="1"/>
  <c r="R305" i="1"/>
  <c r="N306" i="1" a="1"/>
  <c r="O306" i="1"/>
  <c r="P306" i="1"/>
  <c r="Q306" i="1"/>
  <c r="R306" i="1"/>
  <c r="N307" i="1" a="1"/>
  <c r="O307" i="1"/>
  <c r="P307" i="1"/>
  <c r="Q307" i="1"/>
  <c r="R307" i="1"/>
  <c r="N308" i="1" a="1"/>
  <c r="O308" i="1"/>
  <c r="P308" i="1"/>
  <c r="Q308" i="1"/>
  <c r="R308" i="1"/>
  <c r="N309" i="1" a="1"/>
  <c r="O309" i="1"/>
  <c r="P309" i="1"/>
  <c r="Q309" i="1"/>
  <c r="R309" i="1"/>
  <c r="N247" i="1" a="1"/>
  <c r="N246" i="1" a="1"/>
  <c r="N245" i="1" a="1"/>
  <c r="N244" i="1" a="1"/>
  <c r="N243" i="1" a="1"/>
  <c r="N242" i="1" a="1"/>
  <c r="N241" i="1" a="1"/>
  <c r="N240" i="1" a="1"/>
  <c r="N239" i="1" a="1"/>
  <c r="N238" i="1" a="1"/>
  <c r="N237" i="1" a="1"/>
  <c r="O237" i="1"/>
  <c r="O238" i="1"/>
  <c r="P238" i="1"/>
  <c r="Q238" i="1"/>
  <c r="R238" i="1"/>
  <c r="O239" i="1"/>
  <c r="P239" i="1"/>
  <c r="Q239" i="1"/>
  <c r="R239" i="1"/>
  <c r="O240" i="1"/>
  <c r="P240" i="1"/>
  <c r="Q240" i="1"/>
  <c r="R240" i="1"/>
  <c r="O241" i="1"/>
  <c r="P241" i="1"/>
  <c r="Q241" i="1"/>
  <c r="R241" i="1"/>
  <c r="O242" i="1"/>
  <c r="P242" i="1"/>
  <c r="Q242" i="1"/>
  <c r="R242" i="1"/>
  <c r="O243" i="1"/>
  <c r="P243" i="1"/>
  <c r="Q243" i="1"/>
  <c r="R243" i="1"/>
  <c r="O244" i="1"/>
  <c r="P244" i="1"/>
  <c r="Q244" i="1"/>
  <c r="R244" i="1"/>
  <c r="O245" i="1"/>
  <c r="P245" i="1"/>
  <c r="Q245" i="1"/>
  <c r="R245" i="1"/>
  <c r="O246" i="1"/>
  <c r="P246" i="1"/>
  <c r="Q246" i="1"/>
  <c r="R246" i="1"/>
  <c r="O247" i="1"/>
  <c r="P247" i="1"/>
  <c r="Q247" i="1"/>
  <c r="R247" i="1"/>
  <c r="R237" i="1"/>
  <c r="P237" i="1"/>
  <c r="Q237" i="1"/>
  <c r="AB234" i="1"/>
  <c r="AB235" i="1"/>
  <c r="AB236" i="1"/>
  <c r="AB237" i="1"/>
  <c r="N229" i="1" a="1"/>
  <c r="O229" i="1"/>
  <c r="P229" i="1"/>
  <c r="Q229" i="1"/>
  <c r="R229" i="1"/>
  <c r="N230" i="1" a="1"/>
  <c r="O230" i="1"/>
  <c r="P230" i="1"/>
  <c r="Q230" i="1"/>
  <c r="R230" i="1"/>
  <c r="N231" i="1" a="1"/>
  <c r="O231" i="1"/>
  <c r="P231" i="1"/>
  <c r="Q231" i="1"/>
  <c r="R231" i="1"/>
  <c r="N232" i="1" a="1"/>
  <c r="O232" i="1"/>
  <c r="P232" i="1"/>
  <c r="Q232" i="1"/>
  <c r="R232" i="1"/>
  <c r="N233" i="1" a="1"/>
  <c r="O233" i="1"/>
  <c r="P233" i="1"/>
  <c r="Q233" i="1"/>
  <c r="R233" i="1"/>
  <c r="N234" i="1" a="1"/>
  <c r="O234" i="1"/>
  <c r="P234" i="1"/>
  <c r="Q234" i="1"/>
  <c r="R234" i="1"/>
  <c r="N235" i="1" a="1"/>
  <c r="O235" i="1"/>
  <c r="P235" i="1"/>
  <c r="Q235" i="1"/>
  <c r="R235" i="1"/>
  <c r="N236" i="1" a="1"/>
  <c r="O236" i="1"/>
  <c r="P236" i="1"/>
  <c r="Q236" i="1"/>
  <c r="R236" i="1"/>
  <c r="AB233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R225" i="1"/>
  <c r="P226" i="1"/>
  <c r="Q226" i="1"/>
  <c r="R226" i="1"/>
  <c r="P227" i="1"/>
  <c r="Q227" i="1"/>
  <c r="R227" i="1"/>
  <c r="P228" i="1"/>
  <c r="Q228" i="1"/>
  <c r="R228" i="1"/>
  <c r="N228" i="1" a="1"/>
  <c r="N227" i="1" a="1"/>
  <c r="N226" i="1" a="1"/>
  <c r="N225" i="1" a="1"/>
  <c r="N224" i="1" a="1"/>
  <c r="N223" i="1" a="1"/>
  <c r="O223" i="1"/>
  <c r="O224" i="1"/>
  <c r="O225" i="1"/>
  <c r="O226" i="1"/>
  <c r="O227" i="1"/>
  <c r="O228" i="1"/>
  <c r="P225" i="1"/>
  <c r="Q225" i="1"/>
  <c r="R224" i="1"/>
  <c r="P224" i="1"/>
  <c r="Q224" i="1"/>
  <c r="R223" i="1"/>
  <c r="P223" i="1"/>
  <c r="Q223" i="1"/>
  <c r="N222" i="1" a="1"/>
  <c r="O222" i="1"/>
  <c r="R222" i="1"/>
  <c r="P222" i="1"/>
  <c r="Q222" i="1"/>
  <c r="N220" i="1" a="1"/>
  <c r="O220" i="1"/>
  <c r="P220" i="1"/>
  <c r="Q220" i="1"/>
  <c r="R220" i="1"/>
  <c r="N221" i="1" a="1"/>
  <c r="O221" i="1"/>
  <c r="P221" i="1"/>
  <c r="Q221" i="1"/>
  <c r="R221" i="1"/>
  <c r="AE249" i="1" l="1"/>
  <c r="AE311" i="1"/>
  <c r="AD311" i="1"/>
  <c r="AG311" i="1" s="1"/>
  <c r="AH311" i="1" s="1"/>
  <c r="AD246" i="1"/>
  <c r="AD238" i="1"/>
  <c r="AE238" i="1"/>
  <c r="AE240" i="1"/>
  <c r="AD240" i="1"/>
  <c r="AD243" i="1"/>
  <c r="AD245" i="1"/>
  <c r="AD248" i="1"/>
  <c r="AE260" i="1"/>
  <c r="AD260" i="1"/>
  <c r="AE269" i="1"/>
  <c r="AD269" i="1"/>
  <c r="AD270" i="1"/>
  <c r="AE270" i="1"/>
  <c r="AE271" i="1"/>
  <c r="AD271" i="1"/>
  <c r="AE272" i="1"/>
  <c r="AD272" i="1"/>
  <c r="AD273" i="1"/>
  <c r="AE273" i="1"/>
  <c r="AD286" i="1"/>
  <c r="AE286" i="1"/>
  <c r="AE300" i="1"/>
  <c r="AD300" i="1"/>
  <c r="AE301" i="1"/>
  <c r="AD301" i="1"/>
  <c r="AD302" i="1"/>
  <c r="AE302" i="1"/>
  <c r="AD303" i="1"/>
  <c r="AE303" i="1"/>
  <c r="AD304" i="1"/>
  <c r="AE304" i="1"/>
  <c r="AD305" i="1"/>
  <c r="AE305" i="1"/>
  <c r="AD306" i="1"/>
  <c r="AE306" i="1"/>
  <c r="AE307" i="1"/>
  <c r="AD307" i="1"/>
  <c r="AE308" i="1"/>
  <c r="AD308" i="1"/>
  <c r="AE309" i="1"/>
  <c r="AD309" i="1"/>
  <c r="AD310" i="1"/>
  <c r="AE310" i="1"/>
  <c r="AC312" i="1"/>
  <c r="AF312" i="1" s="1"/>
  <c r="AH312" i="1" s="1"/>
  <c r="AE312" i="1"/>
  <c r="AD312" i="1"/>
  <c r="AG312" i="1" s="1"/>
  <c r="AD239" i="1"/>
  <c r="AE242" i="1"/>
  <c r="AD242" i="1"/>
  <c r="AD244" i="1"/>
  <c r="AE244" i="1"/>
  <c r="AD247" i="1"/>
  <c r="AE247" i="1"/>
  <c r="AE251" i="1"/>
  <c r="AD251" i="1"/>
  <c r="AD252" i="1"/>
  <c r="AE252" i="1"/>
  <c r="AD253" i="1"/>
  <c r="AE253" i="1"/>
  <c r="AE254" i="1"/>
  <c r="AD255" i="1"/>
  <c r="AE255" i="1"/>
  <c r="AD256" i="1"/>
  <c r="AE256" i="1"/>
  <c r="AD257" i="1"/>
  <c r="AE257" i="1"/>
  <c r="AD258" i="1"/>
  <c r="AE258" i="1"/>
  <c r="AD259" i="1"/>
  <c r="AE261" i="1"/>
  <c r="AD261" i="1"/>
  <c r="AD262" i="1"/>
  <c r="AE262" i="1"/>
  <c r="AE263" i="1"/>
  <c r="AD263" i="1"/>
  <c r="AD264" i="1"/>
  <c r="AE265" i="1"/>
  <c r="AD265" i="1"/>
  <c r="AE266" i="1"/>
  <c r="AD267" i="1"/>
  <c r="AE268" i="1"/>
  <c r="AD268" i="1"/>
  <c r="AD274" i="1"/>
  <c r="AE274" i="1"/>
  <c r="AD275" i="1"/>
  <c r="AE275" i="1"/>
  <c r="AE276" i="1"/>
  <c r="AD276" i="1"/>
  <c r="AE277" i="1"/>
  <c r="AD278" i="1"/>
  <c r="AD279" i="1"/>
  <c r="AE279" i="1"/>
  <c r="AD280" i="1"/>
  <c r="AE280" i="1"/>
  <c r="AD281" i="1"/>
  <c r="AE282" i="1"/>
  <c r="AD282" i="1"/>
  <c r="AD283" i="1"/>
  <c r="AE283" i="1"/>
  <c r="AD284" i="1"/>
  <c r="AE284" i="1"/>
  <c r="AE285" i="1"/>
  <c r="AD285" i="1"/>
  <c r="AE287" i="1"/>
  <c r="AD287" i="1"/>
  <c r="AE288" i="1"/>
  <c r="AD288" i="1"/>
  <c r="AE289" i="1"/>
  <c r="AD289" i="1"/>
  <c r="AD290" i="1"/>
  <c r="AD291" i="1"/>
  <c r="AE292" i="1"/>
  <c r="AD292" i="1"/>
  <c r="AD293" i="1"/>
  <c r="AE293" i="1"/>
  <c r="AD294" i="1"/>
  <c r="AE294" i="1"/>
  <c r="AD295" i="1"/>
  <c r="AE295" i="1"/>
  <c r="AD296" i="1"/>
  <c r="AE296" i="1"/>
  <c r="AE297" i="1"/>
  <c r="AD298" i="1"/>
  <c r="AD299" i="1"/>
  <c r="AE299" i="1"/>
  <c r="AD236" i="1"/>
  <c r="AE236" i="1"/>
  <c r="AD227" i="1"/>
  <c r="AE227" i="1"/>
  <c r="AE234" i="1"/>
  <c r="AD234" i="1"/>
  <c r="AD235" i="1"/>
  <c r="AE235" i="1"/>
  <c r="AD237" i="1"/>
  <c r="AE237" i="1"/>
  <c r="AD233" i="1"/>
  <c r="AE233" i="1"/>
  <c r="AD228" i="1"/>
  <c r="AE228" i="1"/>
  <c r="AD229" i="1"/>
  <c r="AE229" i="1"/>
  <c r="AE230" i="1"/>
  <c r="AD230" i="1"/>
  <c r="AD231" i="1"/>
  <c r="AE231" i="1"/>
  <c r="AE232" i="1"/>
  <c r="AD232" i="1"/>
  <c r="AE220" i="1"/>
  <c r="AD220" i="1"/>
  <c r="AE221" i="1"/>
  <c r="AD221" i="1"/>
  <c r="AD222" i="1"/>
  <c r="AE222" i="1"/>
  <c r="AD223" i="1"/>
  <c r="AE223" i="1"/>
  <c r="AD224" i="1"/>
  <c r="AE224" i="1"/>
  <c r="AD225" i="1"/>
  <c r="AE225" i="1"/>
  <c r="AD226" i="1"/>
  <c r="AE226" i="1"/>
  <c r="N219" i="1" a="1"/>
  <c r="N218" i="1" a="1"/>
  <c r="N217" i="1" a="1"/>
  <c r="N216" i="1" a="1"/>
  <c r="N215" i="1" a="1"/>
  <c r="N214" i="1" a="1"/>
  <c r="N213" i="1" a="1"/>
  <c r="N212" i="1" a="1"/>
  <c r="N211" i="1" a="1"/>
  <c r="N210" i="1" a="1"/>
  <c r="N209" i="1" a="1"/>
  <c r="N208" i="1" a="1"/>
  <c r="N207" i="1" a="1"/>
  <c r="N206" i="1" a="1"/>
  <c r="N205" i="1" a="1"/>
  <c r="N204" i="1" a="1"/>
  <c r="N203" i="1" a="1"/>
  <c r="N202" i="1" a="1"/>
  <c r="N201" i="1" a="1"/>
  <c r="N200" i="1" a="1"/>
  <c r="N199" i="1" a="1"/>
  <c r="N198" i="1" a="1"/>
  <c r="N197" i="1" a="1"/>
  <c r="N196" i="1" a="1"/>
  <c r="N195" i="1" a="1"/>
  <c r="N194" i="1" a="1"/>
  <c r="N193" i="1" a="1"/>
  <c r="N192" i="1" a="1"/>
  <c r="N191" i="1" a="1"/>
  <c r="N190" i="1" a="1"/>
  <c r="N189" i="1" a="1"/>
  <c r="N188" i="1" a="1"/>
  <c r="N187" i="1" a="1"/>
  <c r="N186" i="1" a="1"/>
  <c r="N185" i="1" a="1"/>
  <c r="N184" i="1" a="1"/>
  <c r="N183" i="1" a="1"/>
  <c r="N182" i="1" a="1"/>
  <c r="N181" i="1" a="1"/>
  <c r="N180" i="1" a="1"/>
  <c r="N179" i="1" a="1"/>
  <c r="N178" i="1" a="1"/>
  <c r="N177" i="1" a="1"/>
  <c r="N176" i="1" a="1"/>
  <c r="N175" i="1" a="1"/>
  <c r="N174" i="1" a="1"/>
  <c r="N173" i="1" a="1"/>
  <c r="N172" i="1" a="1"/>
  <c r="N171" i="1" a="1"/>
  <c r="N170" i="1" a="1"/>
  <c r="N169" i="1" a="1"/>
  <c r="N168" i="1" a="1"/>
  <c r="N167" i="1" a="1"/>
  <c r="N166" i="1" a="1"/>
  <c r="N165" i="1" a="1"/>
  <c r="N164" i="1" a="1"/>
  <c r="N163" i="1" a="1"/>
  <c r="N162" i="1" a="1"/>
  <c r="N161" i="1" a="1"/>
  <c r="N160" i="1" a="1"/>
  <c r="N159" i="1" a="1"/>
  <c r="N158" i="1" a="1"/>
  <c r="N157" i="1" a="1"/>
  <c r="N156" i="1" a="1"/>
  <c r="N155" i="1" a="1"/>
  <c r="N154" i="1" a="1"/>
  <c r="N153" i="1" a="1"/>
  <c r="N152" i="1" a="1"/>
  <c r="N151" i="1" a="1"/>
  <c r="N150" i="1" a="1"/>
  <c r="N149" i="1" a="1"/>
  <c r="N148" i="1" a="1"/>
  <c r="N147" i="1" a="1"/>
  <c r="N146" i="1" a="1"/>
  <c r="N145" i="1" a="1"/>
  <c r="N144" i="1" a="1"/>
  <c r="N143" i="1" a="1"/>
  <c r="N142" i="1" a="1"/>
  <c r="N141" i="1" a="1"/>
  <c r="N140" i="1" a="1"/>
  <c r="N139" i="1" a="1"/>
  <c r="N138" i="1" a="1"/>
  <c r="N137" i="1" a="1"/>
  <c r="N136" i="1" a="1"/>
  <c r="N135" i="1" a="1"/>
  <c r="N134" i="1" a="1"/>
  <c r="N133" i="1" a="1"/>
  <c r="N132" i="1" a="1"/>
  <c r="N131" i="1" a="1"/>
  <c r="N130" i="1" a="1"/>
  <c r="N129" i="1" a="1"/>
  <c r="N128" i="1" a="1"/>
  <c r="N127" i="1" a="1"/>
  <c r="N126" i="1" a="1"/>
  <c r="N125" i="1" a="1"/>
  <c r="N124" i="1" a="1"/>
  <c r="N123" i="1" a="1"/>
  <c r="N122" i="1" a="1"/>
  <c r="N121" i="1" a="1"/>
  <c r="N120" i="1" a="1"/>
  <c r="N119" i="1" a="1"/>
  <c r="N118" i="1" a="1"/>
  <c r="N117" i="1" a="1"/>
  <c r="N116" i="1" a="1"/>
  <c r="N115" i="1" a="1"/>
  <c r="N114" i="1" a="1"/>
  <c r="N113" i="1" a="1"/>
  <c r="N112" i="1" a="1"/>
  <c r="N111" i="1" a="1"/>
  <c r="N110" i="1" a="1"/>
  <c r="N109" i="1" a="1"/>
  <c r="N108" i="1" a="1"/>
  <c r="N107" i="1" a="1"/>
  <c r="N106" i="1" a="1"/>
  <c r="N105" i="1" a="1"/>
  <c r="N104" i="1" a="1"/>
  <c r="N103" i="1" a="1"/>
  <c r="N102" i="1" a="1"/>
  <c r="N101" i="1" a="1"/>
  <c r="N100" i="1" a="1"/>
  <c r="N99" i="1" a="1"/>
  <c r="N98" i="1" a="1"/>
  <c r="N97" i="1" a="1"/>
  <c r="N96" i="1" a="1"/>
  <c r="N95" i="1" a="1"/>
  <c r="N94" i="1" a="1"/>
  <c r="N93" i="1" a="1"/>
  <c r="N92" i="1" a="1"/>
  <c r="N91" i="1" a="1"/>
  <c r="N90" i="1" a="1"/>
  <c r="N89" i="1" a="1"/>
  <c r="N88" i="1" a="1"/>
  <c r="N87" i="1" a="1"/>
  <c r="N86" i="1" a="1"/>
  <c r="N85" i="1" a="1"/>
  <c r="N84" i="1" a="1"/>
  <c r="N83" i="1" a="1"/>
  <c r="N82" i="1" a="1"/>
  <c r="N81" i="1" a="1"/>
  <c r="N80" i="1" a="1"/>
  <c r="N79" i="1" a="1"/>
  <c r="N78" i="1" a="1"/>
  <c r="N77" i="1" a="1"/>
  <c r="N76" i="1" a="1"/>
  <c r="N75" i="1" a="1"/>
  <c r="N74" i="1" a="1"/>
  <c r="N73" i="1" a="1"/>
  <c r="N72" i="1" a="1"/>
  <c r="N71" i="1" a="1"/>
  <c r="N70" i="1" a="1"/>
  <c r="N69" i="1" a="1"/>
  <c r="N68" i="1" a="1"/>
  <c r="N67" i="1" a="1"/>
  <c r="N66" i="1" a="1"/>
  <c r="N65" i="1" a="1"/>
  <c r="N64" i="1" a="1"/>
  <c r="N63" i="1" a="1"/>
  <c r="N62" i="1" a="1"/>
  <c r="N61" i="1" a="1"/>
  <c r="N60" i="1" a="1"/>
  <c r="N59" i="1" a="1"/>
  <c r="N58" i="1" a="1"/>
  <c r="N57" i="1" a="1"/>
  <c r="N56" i="1" a="1"/>
  <c r="N55" i="1" a="1"/>
  <c r="N54" i="1" a="1"/>
  <c r="N53" i="1" a="1"/>
  <c r="N52" i="1" a="1"/>
  <c r="N51" i="1" a="1"/>
  <c r="N50" i="1" a="1"/>
  <c r="N49" i="1" a="1"/>
  <c r="N48" i="1" a="1"/>
  <c r="N47" i="1" a="1"/>
  <c r="N46" i="1" a="1"/>
  <c r="N45" i="1" a="1"/>
  <c r="N44" i="1" a="1"/>
  <c r="N43" i="1" a="1"/>
  <c r="N42" i="1" a="1"/>
  <c r="N41" i="1" a="1"/>
  <c r="N40" i="1" a="1"/>
  <c r="N39" i="1" a="1"/>
  <c r="N38" i="1" a="1"/>
  <c r="N37" i="1" a="1"/>
  <c r="N36" i="1" a="1"/>
  <c r="N35" i="1" a="1"/>
  <c r="N34" i="1" a="1"/>
  <c r="N33" i="1" a="1"/>
  <c r="N32" i="1" a="1"/>
  <c r="N31" i="1" a="1"/>
  <c r="N30" i="1" a="1"/>
  <c r="N29" i="1" a="1"/>
  <c r="N28" i="1" a="1"/>
  <c r="N27" i="1" a="1"/>
  <c r="N26" i="1" a="1"/>
  <c r="N25" i="1" a="1"/>
  <c r="N24" i="1" a="1"/>
  <c r="N23" i="1" a="1"/>
  <c r="N22" i="1" a="1"/>
  <c r="N21" i="1" a="1"/>
  <c r="N20" i="1" a="1"/>
  <c r="N19" i="1" a="1"/>
  <c r="N18" i="1" a="1"/>
  <c r="N17" i="1" a="1"/>
  <c r="N16" i="1" a="1"/>
  <c r="N15" i="1" a="1"/>
  <c r="N14" i="1" a="1"/>
  <c r="N13" i="1" a="1"/>
  <c r="N12" i="1" a="1"/>
  <c r="N11" i="1" a="1"/>
  <c r="N10" i="1" a="1"/>
  <c r="N9" i="1" a="1"/>
  <c r="N8" i="1" a="1"/>
  <c r="N7" i="1" a="1"/>
  <c r="N6" i="1" a="1"/>
  <c r="N5" i="1" a="1"/>
  <c r="N4" i="1" a="1"/>
  <c r="N3" i="1" a="1"/>
  <c r="N2" i="1" a="1"/>
  <c r="Y219" i="1"/>
  <c r="AB219" i="1" s="1"/>
  <c r="Y218" i="1"/>
  <c r="AB218" i="1" s="1"/>
  <c r="Y217" i="1"/>
  <c r="AB217" i="1" s="1"/>
  <c r="AD217" i="1" s="1"/>
  <c r="Y216" i="1"/>
  <c r="AB216" i="1" s="1"/>
  <c r="Y215" i="1"/>
  <c r="AB215" i="1" s="1"/>
  <c r="Y214" i="1"/>
  <c r="AB214" i="1" s="1"/>
  <c r="Y213" i="1"/>
  <c r="AB213" i="1" s="1"/>
  <c r="AD213" i="1" s="1"/>
  <c r="Y212" i="1"/>
  <c r="AB212" i="1" s="1"/>
  <c r="AE212" i="1" s="1"/>
  <c r="Y211" i="1"/>
  <c r="AB211" i="1" s="1"/>
  <c r="Y210" i="1"/>
  <c r="AB210" i="1" s="1"/>
  <c r="R219" i="1"/>
  <c r="Q219" i="1"/>
  <c r="P219" i="1"/>
  <c r="O219" i="1"/>
  <c r="R218" i="1"/>
  <c r="Q218" i="1"/>
  <c r="P218" i="1"/>
  <c r="O218" i="1"/>
  <c r="R217" i="1"/>
  <c r="Q217" i="1"/>
  <c r="P217" i="1"/>
  <c r="O217" i="1"/>
  <c r="R216" i="1"/>
  <c r="Q216" i="1"/>
  <c r="P216" i="1"/>
  <c r="O216" i="1"/>
  <c r="R215" i="1"/>
  <c r="Q215" i="1"/>
  <c r="P215" i="1"/>
  <c r="O215" i="1"/>
  <c r="R214" i="1"/>
  <c r="Q214" i="1"/>
  <c r="P214" i="1"/>
  <c r="O214" i="1"/>
  <c r="R213" i="1"/>
  <c r="Q213" i="1"/>
  <c r="P213" i="1"/>
  <c r="O213" i="1"/>
  <c r="R212" i="1"/>
  <c r="Q212" i="1"/>
  <c r="P212" i="1"/>
  <c r="O212" i="1"/>
  <c r="R211" i="1"/>
  <c r="Q211" i="1"/>
  <c r="P211" i="1"/>
  <c r="O211" i="1"/>
  <c r="R210" i="1"/>
  <c r="Q210" i="1"/>
  <c r="P210" i="1"/>
  <c r="O210" i="1"/>
  <c r="Y209" i="1"/>
  <c r="AB209" i="1" s="1"/>
  <c r="AE209" i="1" s="1"/>
  <c r="Y208" i="1"/>
  <c r="AB208" i="1" s="1"/>
  <c r="Y207" i="1"/>
  <c r="AB207" i="1" s="1"/>
  <c r="Y206" i="1"/>
  <c r="AB206" i="1" s="1"/>
  <c r="Y205" i="1"/>
  <c r="AB205" i="1" s="1"/>
  <c r="AE205" i="1" s="1"/>
  <c r="Y204" i="1"/>
  <c r="AB204" i="1" s="1"/>
  <c r="Y203" i="1"/>
  <c r="AB203" i="1" s="1"/>
  <c r="Y202" i="1"/>
  <c r="AB202" i="1" s="1"/>
  <c r="Y201" i="1"/>
  <c r="AB201" i="1" s="1"/>
  <c r="AE201" i="1" s="1"/>
  <c r="Y200" i="1"/>
  <c r="AB200" i="1" s="1"/>
  <c r="Y199" i="1"/>
  <c r="AB199" i="1" s="1"/>
  <c r="Y198" i="1"/>
  <c r="AB198" i="1" s="1"/>
  <c r="Y197" i="1"/>
  <c r="AB197" i="1" s="1"/>
  <c r="AE197" i="1" s="1"/>
  <c r="R209" i="1"/>
  <c r="Q209" i="1"/>
  <c r="P209" i="1"/>
  <c r="R208" i="1"/>
  <c r="Q208" i="1"/>
  <c r="P208" i="1"/>
  <c r="R207" i="1"/>
  <c r="Q207" i="1"/>
  <c r="P207" i="1"/>
  <c r="R206" i="1"/>
  <c r="Q206" i="1"/>
  <c r="P206" i="1"/>
  <c r="R205" i="1"/>
  <c r="Q205" i="1"/>
  <c r="P205" i="1"/>
  <c r="R204" i="1"/>
  <c r="Q204" i="1"/>
  <c r="P204" i="1"/>
  <c r="R203" i="1"/>
  <c r="Q203" i="1"/>
  <c r="P203" i="1"/>
  <c r="R202" i="1"/>
  <c r="Q202" i="1"/>
  <c r="P202" i="1"/>
  <c r="R201" i="1"/>
  <c r="Q201" i="1"/>
  <c r="P201" i="1"/>
  <c r="R200" i="1"/>
  <c r="Q200" i="1"/>
  <c r="P200" i="1"/>
  <c r="R199" i="1"/>
  <c r="Q199" i="1"/>
  <c r="P199" i="1"/>
  <c r="R198" i="1"/>
  <c r="Q198" i="1"/>
  <c r="P198" i="1"/>
  <c r="R197" i="1"/>
  <c r="Q197" i="1"/>
  <c r="P197" i="1"/>
  <c r="R196" i="1"/>
  <c r="Q196" i="1"/>
  <c r="P196" i="1"/>
  <c r="R195" i="1"/>
  <c r="Q195" i="1"/>
  <c r="P195" i="1"/>
  <c r="R194" i="1"/>
  <c r="Q194" i="1"/>
  <c r="P194" i="1"/>
  <c r="R193" i="1"/>
  <c r="Q193" i="1"/>
  <c r="P193" i="1"/>
  <c r="R192" i="1"/>
  <c r="Q192" i="1"/>
  <c r="P192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Y196" i="1"/>
  <c r="AB196" i="1" s="1"/>
  <c r="AE196" i="1" s="1"/>
  <c r="Y195" i="1"/>
  <c r="AB195" i="1" s="1"/>
  <c r="Y194" i="1"/>
  <c r="AB194" i="1" s="1"/>
  <c r="AE194" i="1" s="1"/>
  <c r="Y193" i="1"/>
  <c r="AB193" i="1" s="1"/>
  <c r="Y190" i="1"/>
  <c r="AB190" i="1" s="1"/>
  <c r="Y191" i="1"/>
  <c r="AB191" i="1" s="1"/>
  <c r="Y192" i="1"/>
  <c r="AB192" i="1" s="1"/>
  <c r="AD192" i="1" s="1"/>
  <c r="R189" i="1"/>
  <c r="R190" i="1"/>
  <c r="R191" i="1"/>
  <c r="Q189" i="1"/>
  <c r="Q190" i="1"/>
  <c r="Q191" i="1"/>
  <c r="P189" i="1"/>
  <c r="P190" i="1"/>
  <c r="P191" i="1"/>
  <c r="O189" i="1"/>
  <c r="O190" i="1"/>
  <c r="Y189" i="1"/>
  <c r="AB189" i="1" s="1"/>
  <c r="AD189" i="1" s="1"/>
  <c r="Y188" i="1"/>
  <c r="AB188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H186" i="1"/>
  <c r="H181" i="1"/>
  <c r="H174" i="1"/>
  <c r="H165" i="1"/>
  <c r="O188" i="1"/>
  <c r="AD199" i="1" l="1"/>
  <c r="AE199" i="1"/>
  <c r="AE217" i="1"/>
  <c r="AD203" i="1"/>
  <c r="AE203" i="1"/>
  <c r="AD207" i="1"/>
  <c r="AE207" i="1"/>
  <c r="AE213" i="1"/>
  <c r="AE211" i="1"/>
  <c r="AD211" i="1"/>
  <c r="AD215" i="1"/>
  <c r="AE215" i="1"/>
  <c r="AE214" i="1"/>
  <c r="AD214" i="1"/>
  <c r="AE218" i="1"/>
  <c r="AD218" i="1"/>
  <c r="AE210" i="1"/>
  <c r="AD210" i="1"/>
  <c r="AE219" i="1"/>
  <c r="AD219" i="1"/>
  <c r="AD216" i="1"/>
  <c r="AE216" i="1"/>
  <c r="AD212" i="1"/>
  <c r="AE204" i="1"/>
  <c r="AD204" i="1"/>
  <c r="AE202" i="1"/>
  <c r="AD202" i="1"/>
  <c r="AE208" i="1"/>
  <c r="AD208" i="1"/>
  <c r="AE200" i="1"/>
  <c r="AD200" i="1"/>
  <c r="AE206" i="1"/>
  <c r="AD206" i="1"/>
  <c r="AE198" i="1"/>
  <c r="AD198" i="1"/>
  <c r="AD197" i="1"/>
  <c r="AD201" i="1"/>
  <c r="AD205" i="1"/>
  <c r="AD209" i="1"/>
  <c r="AE191" i="1"/>
  <c r="AD191" i="1"/>
  <c r="AE190" i="1"/>
  <c r="AD190" i="1"/>
  <c r="AE192" i="1"/>
  <c r="AD194" i="1"/>
  <c r="AE193" i="1"/>
  <c r="AD193" i="1"/>
  <c r="AD195" i="1"/>
  <c r="AE195" i="1"/>
  <c r="AD196" i="1"/>
  <c r="AE189" i="1"/>
  <c r="AD188" i="1"/>
  <c r="AE188" i="1"/>
  <c r="P188" i="1"/>
  <c r="Q188" i="1"/>
  <c r="Y24" i="1"/>
  <c r="Y25" i="1"/>
  <c r="Y26" i="1"/>
  <c r="Y27" i="1"/>
  <c r="Y28" i="1"/>
  <c r="AB28" i="1" s="1"/>
  <c r="Y29" i="1"/>
  <c r="Y30" i="1"/>
  <c r="Y31" i="1"/>
  <c r="AB31" i="1" s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AB174" i="1" s="1"/>
  <c r="Y175" i="1"/>
  <c r="AB175" i="1" s="1"/>
  <c r="Y176" i="1"/>
  <c r="AB176" i="1" s="1"/>
  <c r="Y177" i="1"/>
  <c r="AB177" i="1" s="1"/>
  <c r="Y178" i="1"/>
  <c r="AB178" i="1" s="1"/>
  <c r="Y179" i="1"/>
  <c r="AB179" i="1" s="1"/>
  <c r="Y180" i="1"/>
  <c r="AB180" i="1" s="1"/>
  <c r="Y181" i="1"/>
  <c r="AB181" i="1" s="1"/>
  <c r="Y182" i="1"/>
  <c r="AB182" i="1" s="1"/>
  <c r="Y183" i="1"/>
  <c r="AB183" i="1" s="1"/>
  <c r="Y184" i="1"/>
  <c r="AB184" i="1" s="1"/>
  <c r="Y185" i="1"/>
  <c r="AB185" i="1" s="1"/>
  <c r="Y186" i="1"/>
  <c r="AB186" i="1" s="1"/>
  <c r="Y187" i="1"/>
  <c r="AB187" i="1" s="1"/>
  <c r="Q186" i="1"/>
  <c r="Q187" i="1"/>
  <c r="O184" i="1"/>
  <c r="O185" i="1"/>
  <c r="O186" i="1"/>
  <c r="O187" i="1"/>
  <c r="P187" i="1"/>
  <c r="P186" i="1"/>
  <c r="P185" i="1"/>
  <c r="Q185" i="1"/>
  <c r="P18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P180" i="1"/>
  <c r="P181" i="1"/>
  <c r="P182" i="1"/>
  <c r="P18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Q164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P155" i="1"/>
  <c r="Q155" i="1"/>
  <c r="P154" i="1"/>
  <c r="Q154" i="1"/>
  <c r="P153" i="1"/>
  <c r="Q153" i="1"/>
  <c r="P152" i="1"/>
  <c r="Q152" i="1"/>
  <c r="P151" i="1"/>
  <c r="Q151" i="1"/>
  <c r="P150" i="1"/>
  <c r="Q150" i="1"/>
  <c r="P149" i="1"/>
  <c r="Q149" i="1"/>
  <c r="P148" i="1"/>
  <c r="Q148" i="1"/>
  <c r="AD180" i="1" l="1"/>
  <c r="AE180" i="1"/>
  <c r="AE178" i="1"/>
  <c r="AD178" i="1"/>
  <c r="AE177" i="1"/>
  <c r="AD177" i="1"/>
  <c r="AD181" i="1"/>
  <c r="AE181" i="1"/>
  <c r="AD179" i="1"/>
  <c r="AE179" i="1"/>
  <c r="AD184" i="1"/>
  <c r="AE184" i="1"/>
  <c r="AD176" i="1"/>
  <c r="AE176" i="1"/>
  <c r="AE183" i="1"/>
  <c r="AD183" i="1"/>
  <c r="AD175" i="1"/>
  <c r="AE175" i="1"/>
  <c r="AE182" i="1"/>
  <c r="AD182" i="1"/>
  <c r="AD174" i="1"/>
  <c r="AE174" i="1"/>
  <c r="AD187" i="1"/>
  <c r="AE187" i="1"/>
  <c r="AD186" i="1"/>
  <c r="AE186" i="1"/>
  <c r="AE185" i="1"/>
  <c r="AD185" i="1"/>
  <c r="AD28" i="1"/>
  <c r="AE28" i="1"/>
  <c r="AB33" i="1"/>
  <c r="AB35" i="1"/>
  <c r="AB38" i="1"/>
  <c r="AB39" i="1"/>
  <c r="AB42" i="1"/>
  <c r="AB46" i="1"/>
  <c r="AB52" i="1"/>
  <c r="AB55" i="1"/>
  <c r="AB58" i="1"/>
  <c r="AB64" i="1"/>
  <c r="AB68" i="1"/>
  <c r="AB70" i="1"/>
  <c r="AB73" i="1"/>
  <c r="AB74" i="1"/>
  <c r="AB75" i="1"/>
  <c r="AB77" i="1"/>
  <c r="AB78" i="1"/>
  <c r="AB79" i="1"/>
  <c r="AB80" i="1"/>
  <c r="AB97" i="1"/>
  <c r="AB98" i="1"/>
  <c r="AB116" i="1"/>
  <c r="AB120" i="1"/>
  <c r="AB128" i="1"/>
  <c r="AB129" i="1"/>
  <c r="AB133" i="1"/>
  <c r="AB149" i="1"/>
  <c r="AB153" i="1"/>
  <c r="AB159" i="1"/>
  <c r="AB161" i="1"/>
  <c r="AB164" i="1"/>
  <c r="AB166" i="1"/>
  <c r="AB170" i="1"/>
  <c r="AB171" i="1"/>
  <c r="AB82" i="1"/>
  <c r="AB87" i="1"/>
  <c r="AB89" i="1"/>
  <c r="AB90" i="1"/>
  <c r="AB92" i="1"/>
  <c r="AB96" i="1"/>
  <c r="AB102" i="1"/>
  <c r="AB103" i="1"/>
  <c r="AB104" i="1"/>
  <c r="AB109" i="1"/>
  <c r="AB110" i="1"/>
  <c r="AB118" i="1"/>
  <c r="AB127" i="1"/>
  <c r="AB131" i="1"/>
  <c r="AB135" i="1"/>
  <c r="AB138" i="1"/>
  <c r="AB139" i="1"/>
  <c r="AB158" i="1"/>
  <c r="AB160" i="1"/>
  <c r="AB163" i="1"/>
  <c r="AB165" i="1"/>
  <c r="AB167" i="1"/>
  <c r="AB169" i="1"/>
  <c r="AB173" i="1"/>
  <c r="AB47" i="1"/>
  <c r="AB49" i="1"/>
  <c r="AB51" i="1"/>
  <c r="AB57" i="1"/>
  <c r="AB60" i="1"/>
  <c r="AB63" i="1"/>
  <c r="AB65" i="1"/>
  <c r="AB66" i="1"/>
  <c r="AB69" i="1"/>
  <c r="AB72" i="1"/>
  <c r="AB76" i="1"/>
  <c r="AB81" i="1"/>
  <c r="AB84" i="1"/>
  <c r="AB93" i="1"/>
  <c r="AB99" i="1"/>
  <c r="AB105" i="1"/>
  <c r="AB111" i="1"/>
  <c r="AB112" i="1"/>
  <c r="AB113" i="1"/>
  <c r="AB117" i="1"/>
  <c r="AB121" i="1"/>
  <c r="AB125" i="1"/>
  <c r="AB136" i="1"/>
  <c r="AB140" i="1"/>
  <c r="AB148" i="1"/>
  <c r="AB151" i="1"/>
  <c r="AB157" i="1"/>
  <c r="AB162" i="1"/>
  <c r="AB168" i="1"/>
  <c r="AB172" i="1"/>
  <c r="AB25" i="1"/>
  <c r="AB26" i="1"/>
  <c r="AB29" i="1"/>
  <c r="AB30" i="1"/>
  <c r="AD31" i="1"/>
  <c r="AB36" i="1"/>
  <c r="AB41" i="1"/>
  <c r="AB43" i="1"/>
  <c r="AB44" i="1"/>
  <c r="AB45" i="1"/>
  <c r="AB48" i="1"/>
  <c r="AB53" i="1"/>
  <c r="AB54" i="1"/>
  <c r="AB56" i="1"/>
  <c r="AB59" i="1"/>
  <c r="AB61" i="1"/>
  <c r="AB67" i="1"/>
  <c r="AB83" i="1"/>
  <c r="AB85" i="1"/>
  <c r="AB94" i="1"/>
  <c r="AB100" i="1"/>
  <c r="AB101" i="1"/>
  <c r="AB106" i="1"/>
  <c r="AB107" i="1"/>
  <c r="AB108" i="1"/>
  <c r="AB114" i="1"/>
  <c r="AB119" i="1"/>
  <c r="AB122" i="1"/>
  <c r="AB123" i="1"/>
  <c r="AB124" i="1"/>
  <c r="AB132" i="1"/>
  <c r="AB134" i="1"/>
  <c r="AB142" i="1"/>
  <c r="AB144" i="1"/>
  <c r="AB154" i="1"/>
  <c r="AB155" i="1"/>
  <c r="AB156" i="1"/>
  <c r="AB24" i="1"/>
  <c r="AB27" i="1"/>
  <c r="AE31" i="1"/>
  <c r="AB32" i="1"/>
  <c r="AB34" i="1"/>
  <c r="AB37" i="1"/>
  <c r="AB40" i="1"/>
  <c r="AB50" i="1"/>
  <c r="AB62" i="1"/>
  <c r="AB71" i="1"/>
  <c r="AB86" i="1"/>
  <c r="AB88" i="1"/>
  <c r="AB91" i="1"/>
  <c r="AB95" i="1"/>
  <c r="AB115" i="1"/>
  <c r="AB126" i="1"/>
  <c r="AB130" i="1"/>
  <c r="AB137" i="1"/>
  <c r="AB141" i="1"/>
  <c r="AB143" i="1"/>
  <c r="AB145" i="1"/>
  <c r="AB146" i="1"/>
  <c r="AB147" i="1"/>
  <c r="AB150" i="1"/>
  <c r="AB152" i="1"/>
  <c r="Q147" i="1"/>
  <c r="O145" i="1"/>
  <c r="P145" i="1"/>
  <c r="O146" i="1"/>
  <c r="P146" i="1"/>
  <c r="O147" i="1"/>
  <c r="P147" i="1"/>
  <c r="Q146" i="1"/>
  <c r="AE33" i="1" l="1"/>
  <c r="AD33" i="1"/>
  <c r="AD35" i="1"/>
  <c r="AE35" i="1"/>
  <c r="AD38" i="1"/>
  <c r="AE38" i="1"/>
  <c r="AE39" i="1"/>
  <c r="AD39" i="1"/>
  <c r="AD42" i="1"/>
  <c r="AE42" i="1"/>
  <c r="AE46" i="1"/>
  <c r="AD46" i="1"/>
  <c r="AD52" i="1"/>
  <c r="AE52" i="1"/>
  <c r="AE55" i="1"/>
  <c r="AD55" i="1"/>
  <c r="AD58" i="1"/>
  <c r="AE58" i="1"/>
  <c r="AE64" i="1"/>
  <c r="AD64" i="1"/>
  <c r="AD68" i="1"/>
  <c r="AE68" i="1"/>
  <c r="AD70" i="1"/>
  <c r="AE70" i="1"/>
  <c r="AE73" i="1"/>
  <c r="AD73" i="1"/>
  <c r="AD74" i="1"/>
  <c r="AE74" i="1"/>
  <c r="AE75" i="1"/>
  <c r="AD75" i="1"/>
  <c r="AD77" i="1"/>
  <c r="AE77" i="1"/>
  <c r="AE78" i="1"/>
  <c r="AD78" i="1"/>
  <c r="AE79" i="1"/>
  <c r="AD79" i="1"/>
  <c r="AE80" i="1"/>
  <c r="AD80" i="1"/>
  <c r="AD97" i="1"/>
  <c r="AE97" i="1"/>
  <c r="AE98" i="1"/>
  <c r="AD98" i="1"/>
  <c r="AD116" i="1"/>
  <c r="AE116" i="1"/>
  <c r="AE120" i="1"/>
  <c r="AD120" i="1"/>
  <c r="AD128" i="1"/>
  <c r="AE128" i="1"/>
  <c r="AD129" i="1"/>
  <c r="AE129" i="1"/>
  <c r="AE133" i="1"/>
  <c r="AD133" i="1"/>
  <c r="AD149" i="1"/>
  <c r="AE149" i="1"/>
  <c r="AE153" i="1"/>
  <c r="AD153" i="1"/>
  <c r="AE159" i="1"/>
  <c r="AD159" i="1"/>
  <c r="AD161" i="1"/>
  <c r="AE161" i="1"/>
  <c r="AD164" i="1"/>
  <c r="AE164" i="1"/>
  <c r="AD166" i="1"/>
  <c r="AE166" i="1"/>
  <c r="AD170" i="1"/>
  <c r="AE170" i="1"/>
  <c r="AD171" i="1"/>
  <c r="AE171" i="1"/>
  <c r="AD82" i="1"/>
  <c r="AE82" i="1"/>
  <c r="AE87" i="1"/>
  <c r="AD87" i="1"/>
  <c r="AE89" i="1"/>
  <c r="AD89" i="1"/>
  <c r="AD90" i="1"/>
  <c r="AE90" i="1"/>
  <c r="AE92" i="1"/>
  <c r="AD92" i="1"/>
  <c r="AE96" i="1"/>
  <c r="AD96" i="1"/>
  <c r="AD102" i="1"/>
  <c r="AE102" i="1"/>
  <c r="AD103" i="1"/>
  <c r="AE103" i="1"/>
  <c r="AE104" i="1"/>
  <c r="AD104" i="1"/>
  <c r="AE109" i="1"/>
  <c r="AD109" i="1"/>
  <c r="AD110" i="1"/>
  <c r="AE110" i="1"/>
  <c r="AE118" i="1"/>
  <c r="AD118" i="1"/>
  <c r="AE127" i="1"/>
  <c r="AD127" i="1"/>
  <c r="AE131" i="1"/>
  <c r="AD131" i="1"/>
  <c r="AD135" i="1"/>
  <c r="AE135" i="1"/>
  <c r="AE138" i="1"/>
  <c r="AD138" i="1"/>
  <c r="AD139" i="1"/>
  <c r="AE139" i="1"/>
  <c r="AD158" i="1"/>
  <c r="AE158" i="1"/>
  <c r="AD160" i="1"/>
  <c r="AE160" i="1"/>
  <c r="AE163" i="1"/>
  <c r="AD163" i="1"/>
  <c r="AD165" i="1"/>
  <c r="AE165" i="1"/>
  <c r="AE167" i="1"/>
  <c r="AD167" i="1"/>
  <c r="AD169" i="1"/>
  <c r="AE169" i="1"/>
  <c r="AE173" i="1"/>
  <c r="AD173" i="1"/>
  <c r="AE47" i="1"/>
  <c r="AD47" i="1"/>
  <c r="AD49" i="1"/>
  <c r="AE49" i="1"/>
  <c r="AE51" i="1"/>
  <c r="AD51" i="1"/>
  <c r="AD57" i="1"/>
  <c r="AE57" i="1"/>
  <c r="AD60" i="1"/>
  <c r="AE60" i="1"/>
  <c r="AD63" i="1"/>
  <c r="AE63" i="1"/>
  <c r="AE65" i="1"/>
  <c r="AD65" i="1"/>
  <c r="AE66" i="1"/>
  <c r="AD66" i="1"/>
  <c r="AD69" i="1"/>
  <c r="AE69" i="1"/>
  <c r="AD72" i="1"/>
  <c r="AE72" i="1"/>
  <c r="AE76" i="1"/>
  <c r="AD76" i="1"/>
  <c r="AE81" i="1"/>
  <c r="AD81" i="1"/>
  <c r="AE84" i="1"/>
  <c r="AD84" i="1"/>
  <c r="AD93" i="1"/>
  <c r="AE93" i="1"/>
  <c r="AE99" i="1"/>
  <c r="AD99" i="1"/>
  <c r="AE105" i="1"/>
  <c r="AD105" i="1"/>
  <c r="AD111" i="1"/>
  <c r="AE111" i="1"/>
  <c r="AE112" i="1"/>
  <c r="AD112" i="1"/>
  <c r="AD113" i="1"/>
  <c r="AE113" i="1"/>
  <c r="AE117" i="1"/>
  <c r="AD117" i="1"/>
  <c r="AD121" i="1"/>
  <c r="AE121" i="1"/>
  <c r="AD125" i="1"/>
  <c r="AE125" i="1"/>
  <c r="AD136" i="1"/>
  <c r="AE136" i="1"/>
  <c r="AD140" i="1"/>
  <c r="AE140" i="1"/>
  <c r="AD148" i="1"/>
  <c r="AE148" i="1"/>
  <c r="AE151" i="1"/>
  <c r="AD151" i="1"/>
  <c r="AE157" i="1"/>
  <c r="AD157" i="1"/>
  <c r="AD162" i="1"/>
  <c r="AE162" i="1"/>
  <c r="AE168" i="1"/>
  <c r="AD168" i="1"/>
  <c r="AE172" i="1"/>
  <c r="AD172" i="1"/>
  <c r="AE25" i="1"/>
  <c r="AD25" i="1"/>
  <c r="AE26" i="1"/>
  <c r="AD26" i="1"/>
  <c r="AE29" i="1"/>
  <c r="AD29" i="1"/>
  <c r="AD30" i="1"/>
  <c r="AE30" i="1"/>
  <c r="AD36" i="1"/>
  <c r="AE36" i="1"/>
  <c r="AE41" i="1"/>
  <c r="AD41" i="1"/>
  <c r="AD43" i="1"/>
  <c r="AE43" i="1"/>
  <c r="AD44" i="1"/>
  <c r="AE44" i="1"/>
  <c r="AE45" i="1"/>
  <c r="AD45" i="1"/>
  <c r="AD48" i="1"/>
  <c r="AE48" i="1"/>
  <c r="AE53" i="1"/>
  <c r="AD53" i="1"/>
  <c r="AE54" i="1"/>
  <c r="AD54" i="1"/>
  <c r="AD56" i="1"/>
  <c r="AE56" i="1"/>
  <c r="AD59" i="1"/>
  <c r="AE59" i="1"/>
  <c r="AD61" i="1"/>
  <c r="AE61" i="1"/>
  <c r="AE67" i="1"/>
  <c r="AD67" i="1"/>
  <c r="AE83" i="1"/>
  <c r="AD83" i="1"/>
  <c r="AD85" i="1"/>
  <c r="AE85" i="1"/>
  <c r="AE94" i="1"/>
  <c r="AD94" i="1"/>
  <c r="AD100" i="1"/>
  <c r="AE100" i="1"/>
  <c r="AE101" i="1"/>
  <c r="AD101" i="1"/>
  <c r="AE106" i="1"/>
  <c r="AD106" i="1"/>
  <c r="AD107" i="1"/>
  <c r="AE107" i="1"/>
  <c r="AE108" i="1"/>
  <c r="AD108" i="1"/>
  <c r="AE114" i="1"/>
  <c r="AD114" i="1"/>
  <c r="AE119" i="1"/>
  <c r="AD119" i="1"/>
  <c r="AD122" i="1"/>
  <c r="AE122" i="1"/>
  <c r="AE123" i="1"/>
  <c r="AD123" i="1"/>
  <c r="AD124" i="1"/>
  <c r="AE124" i="1"/>
  <c r="AE132" i="1"/>
  <c r="AD132" i="1"/>
  <c r="AE134" i="1"/>
  <c r="AD134" i="1"/>
  <c r="AE142" i="1"/>
  <c r="AD142" i="1"/>
  <c r="AE144" i="1"/>
  <c r="AD144" i="1"/>
  <c r="AE154" i="1"/>
  <c r="AD154" i="1"/>
  <c r="AE155" i="1"/>
  <c r="AD155" i="1"/>
  <c r="AD156" i="1"/>
  <c r="AE156" i="1"/>
  <c r="AE24" i="1"/>
  <c r="AD24" i="1"/>
  <c r="AE27" i="1"/>
  <c r="AD27" i="1"/>
  <c r="AE32" i="1"/>
  <c r="AD32" i="1"/>
  <c r="AE34" i="1"/>
  <c r="AD34" i="1"/>
  <c r="AE37" i="1"/>
  <c r="AD37" i="1"/>
  <c r="AE40" i="1"/>
  <c r="AD40" i="1"/>
  <c r="AE50" i="1"/>
  <c r="AD50" i="1"/>
  <c r="AD62" i="1"/>
  <c r="AE62" i="1"/>
  <c r="AE71" i="1"/>
  <c r="AD71" i="1"/>
  <c r="AE86" i="1"/>
  <c r="AD86" i="1"/>
  <c r="AD88" i="1"/>
  <c r="AE88" i="1"/>
  <c r="AD91" i="1"/>
  <c r="AE91" i="1"/>
  <c r="AE95" i="1"/>
  <c r="AD95" i="1"/>
  <c r="AD115" i="1"/>
  <c r="AE115" i="1"/>
  <c r="AE126" i="1"/>
  <c r="AD126" i="1"/>
  <c r="AD130" i="1"/>
  <c r="AE130" i="1"/>
  <c r="AE137" i="1"/>
  <c r="AD137" i="1"/>
  <c r="AD141" i="1"/>
  <c r="AE141" i="1"/>
  <c r="AE143" i="1"/>
  <c r="AD143" i="1"/>
  <c r="AE145" i="1"/>
  <c r="AD145" i="1"/>
  <c r="AD146" i="1"/>
  <c r="AE146" i="1"/>
  <c r="AE147" i="1"/>
  <c r="AD147" i="1"/>
  <c r="AD150" i="1"/>
  <c r="AE150" i="1"/>
  <c r="AE152" i="1"/>
  <c r="AD152" i="1"/>
  <c r="Q145" i="1"/>
  <c r="O136" i="1"/>
  <c r="O137" i="1"/>
  <c r="O138" i="1"/>
  <c r="O139" i="1"/>
  <c r="O140" i="1"/>
  <c r="O141" i="1"/>
  <c r="O142" i="1"/>
  <c r="O143" i="1"/>
  <c r="O144" i="1"/>
  <c r="P144" i="1"/>
  <c r="Q144" i="1"/>
  <c r="P143" i="1"/>
  <c r="Q143" i="1"/>
  <c r="P142" i="1"/>
  <c r="Q142" i="1"/>
  <c r="P141" i="1"/>
  <c r="Q141" i="1"/>
  <c r="P140" i="1"/>
  <c r="Q140" i="1"/>
  <c r="P139" i="1"/>
  <c r="Q139" i="1"/>
  <c r="P138" i="1"/>
  <c r="Q138" i="1"/>
  <c r="P137" i="1"/>
  <c r="Q137" i="1"/>
  <c r="P136" i="1" l="1"/>
  <c r="Q136" i="1"/>
  <c r="Q134" i="1"/>
  <c r="Q135" i="1"/>
  <c r="O134" i="1"/>
  <c r="O135" i="1"/>
  <c r="P135" i="1"/>
  <c r="P134" i="1"/>
  <c r="O132" i="1" l="1"/>
  <c r="O133" i="1"/>
  <c r="P133" i="1"/>
  <c r="Q133" i="1"/>
  <c r="P132" i="1"/>
  <c r="Q132" i="1"/>
  <c r="Q129" i="1" l="1"/>
  <c r="Q130" i="1"/>
  <c r="Q131" i="1"/>
  <c r="P129" i="1"/>
  <c r="P130" i="1"/>
  <c r="P131" i="1"/>
  <c r="O127" i="1"/>
  <c r="O128" i="1"/>
  <c r="O129" i="1"/>
  <c r="O130" i="1"/>
  <c r="O131" i="1"/>
  <c r="P128" i="1" l="1"/>
  <c r="Q128" i="1"/>
  <c r="P127" i="1"/>
  <c r="Q127" i="1"/>
  <c r="O99" i="1" l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P126" i="1"/>
  <c r="Q126" i="1"/>
  <c r="P125" i="1"/>
  <c r="Q125" i="1"/>
  <c r="P124" i="1"/>
  <c r="Q124" i="1"/>
  <c r="P123" i="1"/>
  <c r="Q123" i="1"/>
  <c r="P122" i="1"/>
  <c r="Q122" i="1"/>
  <c r="P121" i="1"/>
  <c r="Q121" i="1"/>
  <c r="P120" i="1" l="1"/>
  <c r="Q120" i="1"/>
  <c r="P119" i="1"/>
  <c r="Q119" i="1"/>
  <c r="P118" i="1"/>
  <c r="Q118" i="1"/>
  <c r="P117" i="1"/>
  <c r="Q117" i="1"/>
  <c r="P116" i="1"/>
  <c r="Q116" i="1"/>
  <c r="P115" i="1" l="1"/>
  <c r="Q115" i="1"/>
  <c r="P114" i="1"/>
  <c r="Q114" i="1"/>
  <c r="P113" i="1"/>
  <c r="Q113" i="1"/>
  <c r="P112" i="1"/>
  <c r="Q112" i="1"/>
  <c r="P111" i="1"/>
  <c r="Q111" i="1"/>
  <c r="P110" i="1"/>
  <c r="Q110" i="1"/>
  <c r="P109" i="1"/>
  <c r="Q109" i="1"/>
  <c r="P108" i="1"/>
  <c r="Q108" i="1"/>
  <c r="P107" i="1"/>
  <c r="Q107" i="1"/>
  <c r="P106" i="1" l="1"/>
  <c r="Q106" i="1"/>
  <c r="P105" i="1"/>
  <c r="Q105" i="1"/>
  <c r="P104" i="1"/>
  <c r="Q104" i="1"/>
  <c r="P103" i="1"/>
  <c r="Q103" i="1"/>
  <c r="P102" i="1"/>
  <c r="Q102" i="1"/>
  <c r="P101" i="1"/>
  <c r="Q101" i="1"/>
  <c r="P100" i="1"/>
  <c r="Q100" i="1"/>
  <c r="P99" i="1"/>
  <c r="Q99" i="1"/>
  <c r="P98" i="1"/>
  <c r="Q98" i="1"/>
  <c r="O84" i="1" l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P97" i="1"/>
  <c r="Q97" i="1"/>
  <c r="P96" i="1" l="1"/>
  <c r="Q96" i="1"/>
  <c r="P95" i="1"/>
  <c r="Q95" i="1"/>
  <c r="P94" i="1"/>
  <c r="Q94" i="1"/>
  <c r="P93" i="1"/>
  <c r="Q93" i="1"/>
  <c r="P92" i="1"/>
  <c r="Q92" i="1"/>
  <c r="P91" i="1" l="1"/>
  <c r="Q91" i="1"/>
  <c r="P90" i="1" l="1"/>
  <c r="Q90" i="1"/>
  <c r="P89" i="1"/>
  <c r="Q89" i="1"/>
  <c r="P88" i="1"/>
  <c r="Q88" i="1"/>
  <c r="P87" i="1"/>
  <c r="Q87" i="1"/>
  <c r="P86" i="1" l="1"/>
  <c r="Q86" i="1"/>
  <c r="P85" i="1"/>
  <c r="Q85" i="1"/>
  <c r="P84" i="1"/>
  <c r="Q84" i="1"/>
  <c r="O80" i="1" l="1"/>
  <c r="P80" i="1"/>
  <c r="Q80" i="1"/>
  <c r="O81" i="1"/>
  <c r="P81" i="1"/>
  <c r="Q81" i="1"/>
  <c r="O82" i="1"/>
  <c r="P82" i="1"/>
  <c r="Q82" i="1"/>
  <c r="O83" i="1"/>
  <c r="P83" i="1"/>
  <c r="Q83" i="1"/>
  <c r="O73" i="1"/>
  <c r="P73" i="1"/>
  <c r="Q73" i="1"/>
  <c r="O74" i="1"/>
  <c r="P74" i="1"/>
  <c r="Q74" i="1"/>
  <c r="O75" i="1"/>
  <c r="P75" i="1"/>
  <c r="Q75" i="1"/>
  <c r="O76" i="1"/>
  <c r="P76" i="1"/>
  <c r="Q76" i="1"/>
  <c r="O77" i="1"/>
  <c r="P77" i="1"/>
  <c r="Q77" i="1"/>
  <c r="O78" i="1"/>
  <c r="P78" i="1"/>
  <c r="Q78" i="1"/>
  <c r="O79" i="1"/>
  <c r="P79" i="1"/>
  <c r="Q79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O31" i="1"/>
  <c r="P31" i="1"/>
  <c r="Q31" i="1"/>
  <c r="O32" i="1"/>
  <c r="P32" i="1"/>
  <c r="Q32" i="1"/>
  <c r="O33" i="1"/>
  <c r="P33" i="1"/>
  <c r="Q33" i="1"/>
  <c r="O34" i="1"/>
  <c r="P34" i="1"/>
  <c r="Q34" i="1"/>
  <c r="O35" i="1"/>
  <c r="P35" i="1"/>
  <c r="Q35" i="1"/>
  <c r="O36" i="1"/>
  <c r="P36" i="1"/>
  <c r="Q36" i="1"/>
  <c r="O37" i="1"/>
  <c r="P37" i="1"/>
  <c r="Q37" i="1"/>
  <c r="O38" i="1"/>
  <c r="P38" i="1"/>
  <c r="Q38" i="1"/>
  <c r="O39" i="1"/>
  <c r="P39" i="1"/>
  <c r="Q39" i="1"/>
  <c r="O40" i="1"/>
  <c r="P40" i="1"/>
  <c r="Q40" i="1"/>
  <c r="O41" i="1"/>
  <c r="P41" i="1"/>
  <c r="Q41" i="1"/>
  <c r="O42" i="1"/>
  <c r="P42" i="1"/>
  <c r="Q42" i="1"/>
  <c r="O43" i="1"/>
  <c r="P43" i="1"/>
  <c r="Q43" i="1"/>
  <c r="O44" i="1"/>
  <c r="P44" i="1"/>
  <c r="Q44" i="1"/>
  <c r="O45" i="1"/>
  <c r="P45" i="1"/>
  <c r="Q45" i="1"/>
  <c r="O46" i="1"/>
  <c r="P46" i="1"/>
  <c r="Q46" i="1"/>
  <c r="O47" i="1"/>
  <c r="P47" i="1"/>
  <c r="Q47" i="1"/>
  <c r="O48" i="1"/>
  <c r="P48" i="1"/>
  <c r="Q48" i="1"/>
  <c r="O49" i="1"/>
  <c r="P49" i="1"/>
  <c r="Q49" i="1"/>
  <c r="O50" i="1"/>
  <c r="P50" i="1"/>
  <c r="Q50" i="1"/>
  <c r="O51" i="1"/>
  <c r="P51" i="1"/>
  <c r="Q51" i="1"/>
  <c r="O52" i="1"/>
  <c r="P52" i="1"/>
  <c r="Q52" i="1"/>
  <c r="O53" i="1"/>
  <c r="P53" i="1"/>
  <c r="Q53" i="1"/>
  <c r="O54" i="1"/>
  <c r="P54" i="1"/>
  <c r="Q54" i="1"/>
  <c r="O55" i="1"/>
  <c r="P55" i="1"/>
  <c r="Q55" i="1"/>
  <c r="O56" i="1"/>
  <c r="P56" i="1"/>
  <c r="Q56" i="1"/>
  <c r="O57" i="1"/>
  <c r="P57" i="1"/>
  <c r="Q57" i="1"/>
  <c r="O58" i="1"/>
  <c r="P58" i="1"/>
  <c r="Q58" i="1"/>
  <c r="O59" i="1"/>
  <c r="P59" i="1"/>
  <c r="Q59" i="1"/>
  <c r="O60" i="1"/>
  <c r="P60" i="1"/>
  <c r="Q60" i="1"/>
  <c r="O61" i="1"/>
  <c r="P61" i="1"/>
  <c r="Q61" i="1"/>
  <c r="O62" i="1"/>
  <c r="P62" i="1"/>
  <c r="Q62" i="1"/>
  <c r="O63" i="1"/>
  <c r="P63" i="1"/>
  <c r="Q63" i="1"/>
  <c r="O64" i="1"/>
  <c r="P64" i="1"/>
  <c r="Q64" i="1"/>
  <c r="O65" i="1"/>
  <c r="P65" i="1"/>
  <c r="Q65" i="1"/>
  <c r="O66" i="1"/>
  <c r="P66" i="1"/>
  <c r="Q66" i="1"/>
  <c r="O67" i="1"/>
  <c r="P67" i="1"/>
  <c r="Q67" i="1"/>
  <c r="O68" i="1"/>
  <c r="P68" i="1"/>
  <c r="Q68" i="1"/>
  <c r="O69" i="1"/>
  <c r="P69" i="1"/>
  <c r="Q69" i="1"/>
  <c r="O70" i="1"/>
  <c r="P70" i="1"/>
  <c r="Q70" i="1"/>
  <c r="O71" i="1"/>
  <c r="P71" i="1"/>
  <c r="Q71" i="1"/>
  <c r="O72" i="1"/>
  <c r="P72" i="1"/>
  <c r="Q72" i="1"/>
  <c r="O25" i="1" l="1"/>
  <c r="Q25" i="1"/>
  <c r="P25" i="1"/>
  <c r="Y2" i="1"/>
  <c r="AB2" i="1" s="1"/>
  <c r="Y3" i="1"/>
  <c r="AB3" i="1" s="1"/>
  <c r="Y4" i="1"/>
  <c r="AB4" i="1" s="1"/>
  <c r="Y5" i="1"/>
  <c r="AB5" i="1" s="1"/>
  <c r="Y6" i="1"/>
  <c r="AB6" i="1" s="1"/>
  <c r="Y7" i="1"/>
  <c r="AB7" i="1" s="1"/>
  <c r="Y8" i="1"/>
  <c r="AB8" i="1" s="1"/>
  <c r="Y9" i="1"/>
  <c r="AB9" i="1" s="1"/>
  <c r="Y10" i="1"/>
  <c r="AB10" i="1" s="1"/>
  <c r="Y11" i="1"/>
  <c r="AB11" i="1" s="1"/>
  <c r="Y12" i="1"/>
  <c r="AB12" i="1" s="1"/>
  <c r="Y13" i="1"/>
  <c r="AB13" i="1" s="1"/>
  <c r="Y14" i="1"/>
  <c r="AB14" i="1" s="1"/>
  <c r="Y15" i="1"/>
  <c r="AB15" i="1" s="1"/>
  <c r="Y16" i="1"/>
  <c r="AB16" i="1" s="1"/>
  <c r="Y17" i="1"/>
  <c r="AB17" i="1" s="1"/>
  <c r="Y18" i="1"/>
  <c r="AB18" i="1" s="1"/>
  <c r="Y19" i="1"/>
  <c r="AB19" i="1" s="1"/>
  <c r="Y20" i="1"/>
  <c r="AB20" i="1" s="1"/>
  <c r="Y21" i="1"/>
  <c r="AB21" i="1" s="1"/>
  <c r="Y22" i="1"/>
  <c r="AB22" i="1" s="1"/>
  <c r="Y23" i="1"/>
  <c r="AB23" i="1" s="1"/>
  <c r="O7" i="1"/>
  <c r="P7" i="1"/>
  <c r="Q7" i="1"/>
  <c r="O8" i="1"/>
  <c r="P8" i="1"/>
  <c r="Q8" i="1"/>
  <c r="O9" i="1"/>
  <c r="P9" i="1"/>
  <c r="Q9" i="1"/>
  <c r="O10" i="1"/>
  <c r="P10" i="1"/>
  <c r="Q10" i="1"/>
  <c r="O11" i="1"/>
  <c r="P11" i="1"/>
  <c r="Q11" i="1"/>
  <c r="O12" i="1"/>
  <c r="P12" i="1"/>
  <c r="Q12" i="1"/>
  <c r="O13" i="1"/>
  <c r="P13" i="1"/>
  <c r="Q13" i="1"/>
  <c r="O14" i="1"/>
  <c r="P14" i="1"/>
  <c r="Q14" i="1"/>
  <c r="O15" i="1"/>
  <c r="P15" i="1"/>
  <c r="Q15" i="1"/>
  <c r="O16" i="1"/>
  <c r="P16" i="1"/>
  <c r="Q16" i="1"/>
  <c r="O17" i="1"/>
  <c r="P17" i="1"/>
  <c r="Q17" i="1"/>
  <c r="O18" i="1"/>
  <c r="P18" i="1"/>
  <c r="Q18" i="1"/>
  <c r="O19" i="1"/>
  <c r="P19" i="1"/>
  <c r="Q19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P6" i="1"/>
  <c r="P5" i="1"/>
  <c r="P4" i="1"/>
  <c r="P3" i="1"/>
  <c r="O6" i="1"/>
  <c r="O5" i="1"/>
  <c r="O4" i="1"/>
  <c r="O3" i="1"/>
  <c r="O2" i="1"/>
  <c r="Q3" i="1"/>
  <c r="Q4" i="1"/>
  <c r="Q5" i="1"/>
  <c r="Q6" i="1"/>
  <c r="Q2" i="1"/>
  <c r="P2" i="1"/>
  <c r="R2" i="1"/>
  <c r="AE23" i="1" l="1"/>
  <c r="AD22" i="1"/>
  <c r="AE8" i="1"/>
  <c r="AD8" i="1"/>
  <c r="AD14" i="1"/>
  <c r="AD9" i="1"/>
  <c r="AE9" i="1"/>
  <c r="AD16" i="1"/>
  <c r="AE16" i="1"/>
  <c r="AD21" i="1"/>
  <c r="AE21" i="1"/>
  <c r="AD19" i="1"/>
  <c r="AE19" i="1"/>
  <c r="AD11" i="1"/>
  <c r="AE11" i="1"/>
  <c r="AD18" i="1"/>
  <c r="AE18" i="1"/>
  <c r="AD10" i="1"/>
  <c r="AE10" i="1"/>
  <c r="AD13" i="1"/>
  <c r="AE13" i="1"/>
  <c r="AD20" i="1"/>
  <c r="AE20" i="1"/>
  <c r="AD12" i="1"/>
  <c r="AE12" i="1"/>
  <c r="AD17" i="1"/>
  <c r="AE17" i="1"/>
  <c r="AE15" i="1"/>
  <c r="AE7" i="1"/>
  <c r="AD15" i="1"/>
  <c r="AD7" i="1"/>
  <c r="AE22" i="1"/>
  <c r="AD23" i="1"/>
  <c r="AE14" i="1"/>
  <c r="AD5" i="1"/>
  <c r="AD4" i="1"/>
  <c r="AD6" i="1"/>
  <c r="AE5" i="1"/>
  <c r="AD2" i="1"/>
  <c r="AD3" i="1"/>
  <c r="AE4" i="1"/>
  <c r="AE6" i="1"/>
  <c r="AE2" i="1"/>
  <c r="AE3" i="1"/>
  <c r="AG11" i="1" l="1"/>
  <c r="AG17" i="1"/>
  <c r="AH17" i="1" s="1"/>
  <c r="AG19" i="1"/>
  <c r="AH19" i="1" s="1"/>
  <c r="AG8" i="1"/>
  <c r="AC15" i="1"/>
  <c r="AF15" i="1" s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AA23" i="1" s="1"/>
  <c r="AC23" i="1" s="1"/>
  <c r="AF23" i="1" s="1"/>
  <c r="N22" i="1"/>
  <c r="AA22" i="1" s="1"/>
  <c r="AC22" i="1" s="1"/>
  <c r="AF22" i="1" s="1"/>
  <c r="N21" i="1"/>
  <c r="AA21" i="1" s="1"/>
  <c r="AC21" i="1" s="1"/>
  <c r="AF21" i="1" s="1"/>
  <c r="N20" i="1"/>
  <c r="AA20" i="1" s="1"/>
  <c r="AC20" i="1" s="1"/>
  <c r="AF20" i="1" s="1"/>
  <c r="N19" i="1"/>
  <c r="AA19" i="1" s="1"/>
  <c r="AC19" i="1" s="1"/>
  <c r="AF19" i="1" s="1"/>
  <c r="N18" i="1"/>
  <c r="AA18" i="1" s="1"/>
  <c r="AC18" i="1" s="1"/>
  <c r="AF18" i="1" s="1"/>
  <c r="N17" i="1"/>
  <c r="AA17" i="1" s="1"/>
  <c r="AC17" i="1" s="1"/>
  <c r="AF17" i="1" s="1"/>
  <c r="N16" i="1"/>
  <c r="AA16" i="1" s="1"/>
  <c r="AC16" i="1" s="1"/>
  <c r="AF16" i="1" s="1"/>
  <c r="N15" i="1"/>
  <c r="AA15" i="1" s="1"/>
  <c r="N14" i="1"/>
  <c r="AA14" i="1" s="1"/>
  <c r="AC14" i="1" s="1"/>
  <c r="AF14" i="1" s="1"/>
  <c r="N13" i="1"/>
  <c r="AA13" i="1" s="1"/>
  <c r="AC13" i="1" s="1"/>
  <c r="AF13" i="1" s="1"/>
  <c r="N12" i="1"/>
  <c r="AA12" i="1" s="1"/>
  <c r="AC12" i="1" s="1"/>
  <c r="AF12" i="1" s="1"/>
  <c r="N11" i="1"/>
  <c r="AA11" i="1" s="1"/>
  <c r="AC11" i="1" s="1"/>
  <c r="AF11" i="1" s="1"/>
  <c r="AH11" i="1" s="1"/>
  <c r="N10" i="1"/>
  <c r="AA10" i="1" s="1"/>
  <c r="AC10" i="1" s="1"/>
  <c r="AF10" i="1" s="1"/>
  <c r="N9" i="1"/>
  <c r="AA9" i="1" s="1"/>
  <c r="AC9" i="1" s="1"/>
  <c r="AF9" i="1" s="1"/>
  <c r="N8" i="1"/>
  <c r="AA8" i="1" s="1"/>
  <c r="AC8" i="1" s="1"/>
  <c r="AF8" i="1" s="1"/>
  <c r="AH8" i="1" s="1"/>
  <c r="N7" i="1"/>
  <c r="AA7" i="1" s="1"/>
  <c r="AC7" i="1" s="1"/>
  <c r="AF7" i="1" s="1"/>
  <c r="N6" i="1"/>
  <c r="AA6" i="1" s="1"/>
  <c r="AC6" i="1" s="1"/>
  <c r="AF6" i="1" s="1"/>
  <c r="N5" i="1"/>
  <c r="AA5" i="1" s="1"/>
  <c r="AC5" i="1" s="1"/>
  <c r="AF5" i="1" s="1"/>
  <c r="N4" i="1"/>
  <c r="AA4" i="1" s="1"/>
  <c r="AC4" i="1" s="1"/>
  <c r="AF4" i="1" s="1"/>
  <c r="N3" i="1"/>
  <c r="AA3" i="1" s="1"/>
  <c r="AC3" i="1" s="1"/>
  <c r="AF3" i="1" s="1"/>
  <c r="N2" i="1"/>
  <c r="AA2" i="1" s="1"/>
  <c r="AC2" i="1" s="1"/>
  <c r="AF2" i="1" s="1"/>
  <c r="AH23" i="1" l="1"/>
  <c r="AG23" i="1"/>
  <c r="AG37" i="1"/>
  <c r="AA37" i="1"/>
  <c r="AC37" i="1" s="1"/>
  <c r="AF37" i="1" s="1"/>
  <c r="AH37" i="1" s="1"/>
  <c r="AG53" i="1"/>
  <c r="AA53" i="1"/>
  <c r="AC53" i="1" s="1"/>
  <c r="AF53" i="1" s="1"/>
  <c r="AH53" i="1" s="1"/>
  <c r="AG69" i="1"/>
  <c r="AA69" i="1"/>
  <c r="AC69" i="1" s="1"/>
  <c r="AF69" i="1" s="1"/>
  <c r="AH69" i="1" s="1"/>
  <c r="AG85" i="1"/>
  <c r="AA85" i="1"/>
  <c r="AC85" i="1" s="1"/>
  <c r="AF85" i="1" s="1"/>
  <c r="AH85" i="1" s="1"/>
  <c r="AG101" i="1"/>
  <c r="AA101" i="1"/>
  <c r="AC101" i="1" s="1"/>
  <c r="AF101" i="1" s="1"/>
  <c r="AH101" i="1" s="1"/>
  <c r="AG125" i="1"/>
  <c r="AA125" i="1"/>
  <c r="AC125" i="1" s="1"/>
  <c r="AF125" i="1" s="1"/>
  <c r="AH125" i="1" s="1"/>
  <c r="AG133" i="1"/>
  <c r="AA133" i="1"/>
  <c r="AC133" i="1" s="1"/>
  <c r="AF133" i="1" s="1"/>
  <c r="AH133" i="1" s="1"/>
  <c r="AA149" i="1"/>
  <c r="AC149" i="1" s="1"/>
  <c r="AF149" i="1" s="1"/>
  <c r="AG149" i="1"/>
  <c r="AA165" i="1"/>
  <c r="AC165" i="1" s="1"/>
  <c r="AF165" i="1" s="1"/>
  <c r="AG165" i="1"/>
  <c r="AA189" i="1"/>
  <c r="AC189" i="1" s="1"/>
  <c r="AF189" i="1" s="1"/>
  <c r="AG189" i="1"/>
  <c r="AG213" i="1"/>
  <c r="AA213" i="1"/>
  <c r="AC213" i="1" s="1"/>
  <c r="AF213" i="1" s="1"/>
  <c r="AH213" i="1" s="1"/>
  <c r="AA221" i="1"/>
  <c r="AC221" i="1" s="1"/>
  <c r="AF221" i="1" s="1"/>
  <c r="AG221" i="1"/>
  <c r="AA229" i="1"/>
  <c r="AC229" i="1" s="1"/>
  <c r="AF229" i="1" s="1"/>
  <c r="AG229" i="1"/>
  <c r="AA237" i="1"/>
  <c r="AC237" i="1" s="1"/>
  <c r="AF237" i="1" s="1"/>
  <c r="AG237" i="1"/>
  <c r="AA253" i="1"/>
  <c r="AC253" i="1" s="1"/>
  <c r="AF253" i="1" s="1"/>
  <c r="AG253" i="1"/>
  <c r="AA261" i="1"/>
  <c r="AC261" i="1" s="1"/>
  <c r="AF261" i="1" s="1"/>
  <c r="AG261" i="1"/>
  <c r="AA269" i="1"/>
  <c r="AC269" i="1" s="1"/>
  <c r="AF269" i="1" s="1"/>
  <c r="AG269" i="1"/>
  <c r="AA277" i="1"/>
  <c r="AC277" i="1" s="1"/>
  <c r="AF277" i="1" s="1"/>
  <c r="AG277" i="1"/>
  <c r="AA285" i="1"/>
  <c r="AC285" i="1" s="1"/>
  <c r="AF285" i="1" s="1"/>
  <c r="AG285" i="1"/>
  <c r="AA293" i="1"/>
  <c r="AC293" i="1" s="1"/>
  <c r="AF293" i="1" s="1"/>
  <c r="AG293" i="1"/>
  <c r="AA301" i="1"/>
  <c r="AC301" i="1" s="1"/>
  <c r="AF301" i="1" s="1"/>
  <c r="AG301" i="1"/>
  <c r="AA309" i="1"/>
  <c r="AC309" i="1" s="1"/>
  <c r="AF309" i="1" s="1"/>
  <c r="AH309" i="1" s="1"/>
  <c r="AG309" i="1"/>
  <c r="AG38" i="1"/>
  <c r="AA38" i="1"/>
  <c r="AC38" i="1" s="1"/>
  <c r="AF38" i="1" s="1"/>
  <c r="AH38" i="1" s="1"/>
  <c r="AG62" i="1"/>
  <c r="AA62" i="1"/>
  <c r="AC62" i="1" s="1"/>
  <c r="AF62" i="1" s="1"/>
  <c r="AH62" i="1" s="1"/>
  <c r="AG78" i="1"/>
  <c r="AA78" i="1"/>
  <c r="AC78" i="1" s="1"/>
  <c r="AF78" i="1" s="1"/>
  <c r="AH78" i="1" s="1"/>
  <c r="AG94" i="1"/>
  <c r="AA94" i="1"/>
  <c r="AC94" i="1" s="1"/>
  <c r="AF94" i="1" s="1"/>
  <c r="AG118" i="1"/>
  <c r="AA118" i="1"/>
  <c r="AC118" i="1" s="1"/>
  <c r="AF118" i="1" s="1"/>
  <c r="AH118" i="1" s="1"/>
  <c r="AG126" i="1"/>
  <c r="AA126" i="1"/>
  <c r="AC126" i="1" s="1"/>
  <c r="AF126" i="1" s="1"/>
  <c r="AH126" i="1" s="1"/>
  <c r="AA150" i="1"/>
  <c r="AC150" i="1" s="1"/>
  <c r="AF150" i="1" s="1"/>
  <c r="AG150" i="1"/>
  <c r="AA158" i="1"/>
  <c r="AC158" i="1" s="1"/>
  <c r="AF158" i="1" s="1"/>
  <c r="AH158" i="1" s="1"/>
  <c r="AG158" i="1"/>
  <c r="AG182" i="1"/>
  <c r="AA182" i="1"/>
  <c r="AC182" i="1" s="1"/>
  <c r="AF182" i="1" s="1"/>
  <c r="AH182" i="1" s="1"/>
  <c r="AA198" i="1"/>
  <c r="AC198" i="1" s="1"/>
  <c r="AF198" i="1" s="1"/>
  <c r="AG198" i="1"/>
  <c r="AA230" i="1"/>
  <c r="AC230" i="1" s="1"/>
  <c r="AF230" i="1" s="1"/>
  <c r="AG230" i="1"/>
  <c r="AA254" i="1"/>
  <c r="AC254" i="1" s="1"/>
  <c r="AF254" i="1" s="1"/>
  <c r="AH254" i="1" s="1"/>
  <c r="AG254" i="1"/>
  <c r="AA278" i="1"/>
  <c r="AC278" i="1" s="1"/>
  <c r="AF278" i="1" s="1"/>
  <c r="AG278" i="1"/>
  <c r="AA302" i="1"/>
  <c r="AC302" i="1" s="1"/>
  <c r="AF302" i="1" s="1"/>
  <c r="AG302" i="1"/>
  <c r="AG31" i="1"/>
  <c r="AA31" i="1"/>
  <c r="AC31" i="1" s="1"/>
  <c r="AF31" i="1" s="1"/>
  <c r="AH31" i="1" s="1"/>
  <c r="AG47" i="1"/>
  <c r="AA47" i="1"/>
  <c r="AC47" i="1" s="1"/>
  <c r="AF47" i="1" s="1"/>
  <c r="AG63" i="1"/>
  <c r="AA63" i="1"/>
  <c r="AC63" i="1" s="1"/>
  <c r="AF63" i="1" s="1"/>
  <c r="AH63" i="1" s="1"/>
  <c r="AG87" i="1"/>
  <c r="AA87" i="1"/>
  <c r="AC87" i="1" s="1"/>
  <c r="AF87" i="1" s="1"/>
  <c r="AH87" i="1" s="1"/>
  <c r="AG103" i="1"/>
  <c r="AA103" i="1"/>
  <c r="AC103" i="1" s="1"/>
  <c r="AF103" i="1" s="1"/>
  <c r="AH103" i="1" s="1"/>
  <c r="AG119" i="1"/>
  <c r="AA119" i="1"/>
  <c r="AC119" i="1" s="1"/>
  <c r="AF119" i="1" s="1"/>
  <c r="AA143" i="1"/>
  <c r="AC143" i="1" s="1"/>
  <c r="AF143" i="1" s="1"/>
  <c r="AG143" i="1"/>
  <c r="AA159" i="1"/>
  <c r="AC159" i="1" s="1"/>
  <c r="AF159" i="1" s="1"/>
  <c r="AG159" i="1"/>
  <c r="AA183" i="1"/>
  <c r="AC183" i="1" s="1"/>
  <c r="AF183" i="1" s="1"/>
  <c r="AG183" i="1"/>
  <c r="AA207" i="1"/>
  <c r="AG207" i="1"/>
  <c r="AA231" i="1"/>
  <c r="AC231" i="1" s="1"/>
  <c r="AF231" i="1" s="1"/>
  <c r="AG231" i="1"/>
  <c r="AA255" i="1"/>
  <c r="AC255" i="1" s="1"/>
  <c r="AF255" i="1" s="1"/>
  <c r="AG255" i="1"/>
  <c r="AA287" i="1"/>
  <c r="AC287" i="1" s="1"/>
  <c r="AF287" i="1" s="1"/>
  <c r="AG287" i="1"/>
  <c r="AG5" i="1"/>
  <c r="AH5" i="1" s="1"/>
  <c r="AG24" i="1"/>
  <c r="AA24" i="1"/>
  <c r="AC24" i="1" s="1"/>
  <c r="AF24" i="1" s="1"/>
  <c r="AH24" i="1" s="1"/>
  <c r="AG32" i="1"/>
  <c r="AA32" i="1"/>
  <c r="AC32" i="1" s="1"/>
  <c r="AF32" i="1" s="1"/>
  <c r="AH32" i="1" s="1"/>
  <c r="AG40" i="1"/>
  <c r="AA40" i="1"/>
  <c r="AC40" i="1" s="1"/>
  <c r="AF40" i="1" s="1"/>
  <c r="AG48" i="1"/>
  <c r="AA48" i="1"/>
  <c r="AC48" i="1" s="1"/>
  <c r="AF48" i="1" s="1"/>
  <c r="AG56" i="1"/>
  <c r="AA56" i="1"/>
  <c r="AC56" i="1" s="1"/>
  <c r="AF56" i="1" s="1"/>
  <c r="AH56" i="1" s="1"/>
  <c r="AG64" i="1"/>
  <c r="AA64" i="1"/>
  <c r="AC64" i="1" s="1"/>
  <c r="AF64" i="1" s="1"/>
  <c r="AH64" i="1" s="1"/>
  <c r="AG72" i="1"/>
  <c r="AA72" i="1"/>
  <c r="AC72" i="1" s="1"/>
  <c r="AF72" i="1" s="1"/>
  <c r="AG80" i="1"/>
  <c r="AA80" i="1"/>
  <c r="AC80" i="1" s="1"/>
  <c r="AF80" i="1" s="1"/>
  <c r="AG88" i="1"/>
  <c r="AA88" i="1"/>
  <c r="AC88" i="1" s="1"/>
  <c r="AF88" i="1" s="1"/>
  <c r="AH88" i="1" s="1"/>
  <c r="AG96" i="1"/>
  <c r="AA96" i="1"/>
  <c r="AC96" i="1" s="1"/>
  <c r="AF96" i="1" s="1"/>
  <c r="AH96" i="1" s="1"/>
  <c r="AG104" i="1"/>
  <c r="AA104" i="1"/>
  <c r="AC104" i="1" s="1"/>
  <c r="AF104" i="1" s="1"/>
  <c r="AG112" i="1"/>
  <c r="AA112" i="1"/>
  <c r="AC112" i="1" s="1"/>
  <c r="AF112" i="1" s="1"/>
  <c r="AG120" i="1"/>
  <c r="AA120" i="1"/>
  <c r="AC120" i="1" s="1"/>
  <c r="AF120" i="1" s="1"/>
  <c r="AH120" i="1" s="1"/>
  <c r="AG128" i="1"/>
  <c r="AA128" i="1"/>
  <c r="AC128" i="1" s="1"/>
  <c r="AF128" i="1" s="1"/>
  <c r="AH128" i="1" s="1"/>
  <c r="AA136" i="1"/>
  <c r="AC136" i="1" s="1"/>
  <c r="AF136" i="1" s="1"/>
  <c r="AH136" i="1" s="1"/>
  <c r="AG136" i="1"/>
  <c r="AA144" i="1"/>
  <c r="AC144" i="1" s="1"/>
  <c r="AF144" i="1" s="1"/>
  <c r="AH144" i="1" s="1"/>
  <c r="AG144" i="1"/>
  <c r="AA152" i="1"/>
  <c r="AC152" i="1" s="1"/>
  <c r="AF152" i="1" s="1"/>
  <c r="AG152" i="1"/>
  <c r="AA160" i="1"/>
  <c r="AC160" i="1" s="1"/>
  <c r="AF160" i="1" s="1"/>
  <c r="AG160" i="1"/>
  <c r="AA168" i="1"/>
  <c r="AC168" i="1" s="1"/>
  <c r="AF168" i="1" s="1"/>
  <c r="AH168" i="1" s="1"/>
  <c r="AG168" i="1"/>
  <c r="AA176" i="1"/>
  <c r="AC176" i="1" s="1"/>
  <c r="AF176" i="1" s="1"/>
  <c r="AH176" i="1" s="1"/>
  <c r="AG176" i="1"/>
  <c r="AA184" i="1"/>
  <c r="AC184" i="1" s="1"/>
  <c r="AF184" i="1" s="1"/>
  <c r="AG184" i="1"/>
  <c r="AA192" i="1"/>
  <c r="AC192" i="1" s="1"/>
  <c r="AF192" i="1" s="1"/>
  <c r="AG192" i="1"/>
  <c r="AA200" i="1"/>
  <c r="AG200" i="1"/>
  <c r="AA208" i="1"/>
  <c r="AG208" i="1"/>
  <c r="AA216" i="1"/>
  <c r="AC216" i="1" s="1"/>
  <c r="AF216" i="1" s="1"/>
  <c r="AG216" i="1"/>
  <c r="AA224" i="1"/>
  <c r="AC224" i="1" s="1"/>
  <c r="AF224" i="1" s="1"/>
  <c r="AG224" i="1"/>
  <c r="AA232" i="1"/>
  <c r="AC232" i="1" s="1"/>
  <c r="AF232" i="1" s="1"/>
  <c r="AH232" i="1" s="1"/>
  <c r="AG232" i="1"/>
  <c r="AA240" i="1"/>
  <c r="AC240" i="1" s="1"/>
  <c r="AF240" i="1" s="1"/>
  <c r="AG240" i="1"/>
  <c r="AA248" i="1"/>
  <c r="AC248" i="1" s="1"/>
  <c r="AF248" i="1" s="1"/>
  <c r="AG248" i="1"/>
  <c r="AA256" i="1"/>
  <c r="AC256" i="1" s="1"/>
  <c r="AF256" i="1" s="1"/>
  <c r="AH256" i="1" s="1"/>
  <c r="AG256" i="1"/>
  <c r="AA264" i="1"/>
  <c r="AC264" i="1" s="1"/>
  <c r="AF264" i="1" s="1"/>
  <c r="AH264" i="1" s="1"/>
  <c r="AG264" i="1"/>
  <c r="AA272" i="1"/>
  <c r="AC272" i="1" s="1"/>
  <c r="AF272" i="1" s="1"/>
  <c r="AH272" i="1" s="1"/>
  <c r="AG272" i="1"/>
  <c r="AA280" i="1"/>
  <c r="AC280" i="1" s="1"/>
  <c r="AF280" i="1" s="1"/>
  <c r="AG280" i="1"/>
  <c r="AA288" i="1"/>
  <c r="AC288" i="1" s="1"/>
  <c r="AF288" i="1" s="1"/>
  <c r="AH288" i="1" s="1"/>
  <c r="AG288" i="1"/>
  <c r="AA296" i="1"/>
  <c r="AC296" i="1" s="1"/>
  <c r="AF296" i="1" s="1"/>
  <c r="AH296" i="1" s="1"/>
  <c r="AG296" i="1"/>
  <c r="AA304" i="1"/>
  <c r="AC304" i="1" s="1"/>
  <c r="AF304" i="1" s="1"/>
  <c r="AH304" i="1" s="1"/>
  <c r="AG304" i="1"/>
  <c r="AG18" i="1"/>
  <c r="AH18" i="1" s="1"/>
  <c r="AG4" i="1"/>
  <c r="AH4" i="1" s="1"/>
  <c r="AG22" i="1"/>
  <c r="AH22" i="1" s="1"/>
  <c r="AG29" i="1"/>
  <c r="AA29" i="1"/>
  <c r="AC29" i="1" s="1"/>
  <c r="AF29" i="1" s="1"/>
  <c r="AH29" i="1" s="1"/>
  <c r="AG45" i="1"/>
  <c r="AA45" i="1"/>
  <c r="AC45" i="1" s="1"/>
  <c r="AF45" i="1" s="1"/>
  <c r="AH45" i="1" s="1"/>
  <c r="AG61" i="1"/>
  <c r="AA61" i="1"/>
  <c r="AC61" i="1" s="1"/>
  <c r="AF61" i="1" s="1"/>
  <c r="AH61" i="1" s="1"/>
  <c r="AG77" i="1"/>
  <c r="AA77" i="1"/>
  <c r="AC77" i="1" s="1"/>
  <c r="AF77" i="1" s="1"/>
  <c r="AH77" i="1" s="1"/>
  <c r="AG93" i="1"/>
  <c r="AA93" i="1"/>
  <c r="AC93" i="1" s="1"/>
  <c r="AF93" i="1" s="1"/>
  <c r="AH93" i="1" s="1"/>
  <c r="AG117" i="1"/>
  <c r="AA117" i="1"/>
  <c r="AC117" i="1" s="1"/>
  <c r="AF117" i="1" s="1"/>
  <c r="AH117" i="1" s="1"/>
  <c r="AA141" i="1"/>
  <c r="AC141" i="1" s="1"/>
  <c r="AF141" i="1" s="1"/>
  <c r="AG141" i="1"/>
  <c r="AA157" i="1"/>
  <c r="AC157" i="1" s="1"/>
  <c r="AF157" i="1" s="1"/>
  <c r="AG157" i="1"/>
  <c r="AA173" i="1"/>
  <c r="AC173" i="1" s="1"/>
  <c r="AF173" i="1" s="1"/>
  <c r="AG173" i="1"/>
  <c r="AA181" i="1"/>
  <c r="AC181" i="1" s="1"/>
  <c r="AF181" i="1" s="1"/>
  <c r="AG181" i="1"/>
  <c r="AA205" i="1"/>
  <c r="AG205" i="1"/>
  <c r="AA245" i="1"/>
  <c r="AC245" i="1" s="1"/>
  <c r="AF245" i="1" s="1"/>
  <c r="AG245" i="1"/>
  <c r="AG30" i="1"/>
  <c r="AA30" i="1"/>
  <c r="AC30" i="1" s="1"/>
  <c r="AF30" i="1" s="1"/>
  <c r="AG54" i="1"/>
  <c r="AA54" i="1"/>
  <c r="AC54" i="1" s="1"/>
  <c r="AF54" i="1" s="1"/>
  <c r="AG70" i="1"/>
  <c r="AA70" i="1"/>
  <c r="AC70" i="1" s="1"/>
  <c r="AF70" i="1" s="1"/>
  <c r="AH70" i="1" s="1"/>
  <c r="AG86" i="1"/>
  <c r="AA86" i="1"/>
  <c r="AC86" i="1" s="1"/>
  <c r="AF86" i="1" s="1"/>
  <c r="AG110" i="1"/>
  <c r="AA110" i="1"/>
  <c r="AC110" i="1" s="1"/>
  <c r="AF110" i="1" s="1"/>
  <c r="AG134" i="1"/>
  <c r="AA134" i="1"/>
  <c r="AC134" i="1" s="1"/>
  <c r="AF134" i="1" s="1"/>
  <c r="AA166" i="1"/>
  <c r="AC166" i="1" s="1"/>
  <c r="AF166" i="1" s="1"/>
  <c r="AG166" i="1"/>
  <c r="AA214" i="1"/>
  <c r="AC214" i="1" s="1"/>
  <c r="AF214" i="1" s="1"/>
  <c r="AH214" i="1" s="1"/>
  <c r="AG214" i="1"/>
  <c r="AG39" i="1"/>
  <c r="AA39" i="1"/>
  <c r="AC39" i="1" s="1"/>
  <c r="AF39" i="1" s="1"/>
  <c r="AG55" i="1"/>
  <c r="AA55" i="1"/>
  <c r="AC55" i="1" s="1"/>
  <c r="AF55" i="1" s="1"/>
  <c r="AG71" i="1"/>
  <c r="AA71" i="1"/>
  <c r="AC71" i="1" s="1"/>
  <c r="AF71" i="1" s="1"/>
  <c r="AH71" i="1" s="1"/>
  <c r="AG95" i="1"/>
  <c r="AA95" i="1"/>
  <c r="AC95" i="1" s="1"/>
  <c r="AF95" i="1" s="1"/>
  <c r="AG111" i="1"/>
  <c r="AA111" i="1"/>
  <c r="AC111" i="1" s="1"/>
  <c r="AF111" i="1" s="1"/>
  <c r="AG127" i="1"/>
  <c r="AA127" i="1"/>
  <c r="AC127" i="1" s="1"/>
  <c r="AF127" i="1" s="1"/>
  <c r="AA151" i="1"/>
  <c r="AC151" i="1" s="1"/>
  <c r="AF151" i="1" s="1"/>
  <c r="AG151" i="1"/>
  <c r="AA167" i="1"/>
  <c r="AC167" i="1" s="1"/>
  <c r="AF167" i="1" s="1"/>
  <c r="AH167" i="1" s="1"/>
  <c r="AG167" i="1"/>
  <c r="AA191" i="1"/>
  <c r="AC191" i="1" s="1"/>
  <c r="AF191" i="1" s="1"/>
  <c r="AH191" i="1" s="1"/>
  <c r="AG191" i="1"/>
  <c r="AA223" i="1"/>
  <c r="AC223" i="1" s="1"/>
  <c r="AF223" i="1" s="1"/>
  <c r="AH223" i="1" s="1"/>
  <c r="AG223" i="1"/>
  <c r="AG25" i="1"/>
  <c r="AA25" i="1"/>
  <c r="AC25" i="1" s="1"/>
  <c r="AF25" i="1" s="1"/>
  <c r="AH25" i="1" s="1"/>
  <c r="AG33" i="1"/>
  <c r="AA33" i="1"/>
  <c r="AC33" i="1" s="1"/>
  <c r="AF33" i="1" s="1"/>
  <c r="AG41" i="1"/>
  <c r="AA41" i="1"/>
  <c r="AC41" i="1" s="1"/>
  <c r="AF41" i="1" s="1"/>
  <c r="AG49" i="1"/>
  <c r="AA49" i="1"/>
  <c r="AC49" i="1" s="1"/>
  <c r="AF49" i="1" s="1"/>
  <c r="AG57" i="1"/>
  <c r="AA57" i="1"/>
  <c r="AC57" i="1" s="1"/>
  <c r="AF57" i="1" s="1"/>
  <c r="AH57" i="1" s="1"/>
  <c r="AG65" i="1"/>
  <c r="AA65" i="1"/>
  <c r="AC65" i="1" s="1"/>
  <c r="AF65" i="1" s="1"/>
  <c r="AH65" i="1" s="1"/>
  <c r="AG73" i="1"/>
  <c r="AA73" i="1"/>
  <c r="AC73" i="1" s="1"/>
  <c r="AF73" i="1" s="1"/>
  <c r="AG81" i="1"/>
  <c r="AA81" i="1"/>
  <c r="AC81" i="1" s="1"/>
  <c r="AF81" i="1" s="1"/>
  <c r="AG89" i="1"/>
  <c r="AA89" i="1"/>
  <c r="AC89" i="1" s="1"/>
  <c r="AF89" i="1" s="1"/>
  <c r="AH89" i="1" s="1"/>
  <c r="AG97" i="1"/>
  <c r="AA97" i="1"/>
  <c r="AC97" i="1" s="1"/>
  <c r="AF97" i="1" s="1"/>
  <c r="AH97" i="1" s="1"/>
  <c r="AG105" i="1"/>
  <c r="AA105" i="1"/>
  <c r="AC105" i="1" s="1"/>
  <c r="AF105" i="1" s="1"/>
  <c r="AG113" i="1"/>
  <c r="AA113" i="1"/>
  <c r="AC113" i="1" s="1"/>
  <c r="AF113" i="1" s="1"/>
  <c r="AG121" i="1"/>
  <c r="AA121" i="1"/>
  <c r="AC121" i="1" s="1"/>
  <c r="AF121" i="1" s="1"/>
  <c r="AH121" i="1" s="1"/>
  <c r="AG129" i="1"/>
  <c r="AA129" i="1"/>
  <c r="AC129" i="1" s="1"/>
  <c r="AF129" i="1" s="1"/>
  <c r="AH129" i="1" s="1"/>
  <c r="AA137" i="1"/>
  <c r="AC137" i="1" s="1"/>
  <c r="AF137" i="1" s="1"/>
  <c r="AH137" i="1" s="1"/>
  <c r="AG137" i="1"/>
  <c r="AA145" i="1"/>
  <c r="AC145" i="1" s="1"/>
  <c r="AF145" i="1" s="1"/>
  <c r="AH145" i="1" s="1"/>
  <c r="AG145" i="1"/>
  <c r="AA153" i="1"/>
  <c r="AC153" i="1" s="1"/>
  <c r="AF153" i="1" s="1"/>
  <c r="AG153" i="1"/>
  <c r="AA161" i="1"/>
  <c r="AC161" i="1" s="1"/>
  <c r="AF161" i="1" s="1"/>
  <c r="AG161" i="1"/>
  <c r="AA169" i="1"/>
  <c r="AC169" i="1" s="1"/>
  <c r="AF169" i="1" s="1"/>
  <c r="AH169" i="1" s="1"/>
  <c r="AG169" i="1"/>
  <c r="AA177" i="1"/>
  <c r="AC177" i="1" s="1"/>
  <c r="AF177" i="1" s="1"/>
  <c r="AH177" i="1" s="1"/>
  <c r="AG177" i="1"/>
  <c r="AG185" i="1"/>
  <c r="AA185" i="1"/>
  <c r="AC185" i="1" s="1"/>
  <c r="AF185" i="1" s="1"/>
  <c r="AH185" i="1" s="1"/>
  <c r="AA193" i="1"/>
  <c r="AC193" i="1" s="1"/>
  <c r="AF193" i="1" s="1"/>
  <c r="AG193" i="1"/>
  <c r="AA201" i="1"/>
  <c r="AG201" i="1"/>
  <c r="AA209" i="1"/>
  <c r="AG209" i="1"/>
  <c r="AA217" i="1"/>
  <c r="AC217" i="1" s="1"/>
  <c r="AF217" i="1" s="1"/>
  <c r="AG217" i="1"/>
  <c r="AA225" i="1"/>
  <c r="AC225" i="1" s="1"/>
  <c r="AF225" i="1" s="1"/>
  <c r="AH225" i="1" s="1"/>
  <c r="AG225" i="1"/>
  <c r="AA233" i="1"/>
  <c r="AC233" i="1" s="1"/>
  <c r="AF233" i="1" s="1"/>
  <c r="AH233" i="1" s="1"/>
  <c r="AG233" i="1"/>
  <c r="AA241" i="1"/>
  <c r="AG241" i="1"/>
  <c r="AA249" i="1"/>
  <c r="AG249" i="1"/>
  <c r="AA257" i="1"/>
  <c r="AC257" i="1" s="1"/>
  <c r="AF257" i="1" s="1"/>
  <c r="AH257" i="1" s="1"/>
  <c r="AG257" i="1"/>
  <c r="AA265" i="1"/>
  <c r="AC265" i="1" s="1"/>
  <c r="AF265" i="1" s="1"/>
  <c r="AH265" i="1" s="1"/>
  <c r="AG265" i="1"/>
  <c r="AA273" i="1"/>
  <c r="AC273" i="1" s="1"/>
  <c r="AF273" i="1" s="1"/>
  <c r="AG273" i="1"/>
  <c r="AA281" i="1"/>
  <c r="AC281" i="1" s="1"/>
  <c r="AF281" i="1" s="1"/>
  <c r="AG281" i="1"/>
  <c r="AA289" i="1"/>
  <c r="AC289" i="1" s="1"/>
  <c r="AF289" i="1" s="1"/>
  <c r="AH289" i="1" s="1"/>
  <c r="AG289" i="1"/>
  <c r="AA297" i="1"/>
  <c r="AC297" i="1" s="1"/>
  <c r="AF297" i="1" s="1"/>
  <c r="AH297" i="1" s="1"/>
  <c r="AG297" i="1"/>
  <c r="AA305" i="1"/>
  <c r="AC305" i="1" s="1"/>
  <c r="AF305" i="1" s="1"/>
  <c r="AH305" i="1" s="1"/>
  <c r="AG305" i="1"/>
  <c r="AG12" i="1"/>
  <c r="AH12" i="1" s="1"/>
  <c r="AG15" i="1"/>
  <c r="AH15" i="1" s="1"/>
  <c r="AG16" i="1"/>
  <c r="AH16" i="1" s="1"/>
  <c r="AG66" i="1"/>
  <c r="AA66" i="1"/>
  <c r="AC66" i="1" s="1"/>
  <c r="AF66" i="1" s="1"/>
  <c r="AH66" i="1" s="1"/>
  <c r="AG114" i="1"/>
  <c r="AA114" i="1"/>
  <c r="AC114" i="1" s="1"/>
  <c r="AF114" i="1" s="1"/>
  <c r="AH114" i="1" s="1"/>
  <c r="AG130" i="1"/>
  <c r="AA130" i="1"/>
  <c r="AC130" i="1" s="1"/>
  <c r="AF130" i="1" s="1"/>
  <c r="AH130" i="1" s="1"/>
  <c r="AA138" i="1"/>
  <c r="AC138" i="1" s="1"/>
  <c r="AF138" i="1" s="1"/>
  <c r="AG138" i="1"/>
  <c r="AA146" i="1"/>
  <c r="AC146" i="1" s="1"/>
  <c r="AF146" i="1" s="1"/>
  <c r="AG146" i="1"/>
  <c r="AA162" i="1"/>
  <c r="AC162" i="1" s="1"/>
  <c r="AF162" i="1" s="1"/>
  <c r="AG162" i="1"/>
  <c r="AA170" i="1"/>
  <c r="AC170" i="1" s="1"/>
  <c r="AF170" i="1" s="1"/>
  <c r="AG170" i="1"/>
  <c r="AA178" i="1"/>
  <c r="AC178" i="1" s="1"/>
  <c r="AF178" i="1" s="1"/>
  <c r="AG178" i="1"/>
  <c r="AG186" i="1"/>
  <c r="AA186" i="1"/>
  <c r="AC186" i="1" s="1"/>
  <c r="AF186" i="1" s="1"/>
  <c r="AH186" i="1" s="1"/>
  <c r="AA194" i="1"/>
  <c r="AC194" i="1" s="1"/>
  <c r="AF194" i="1" s="1"/>
  <c r="AG194" i="1"/>
  <c r="AA202" i="1"/>
  <c r="AG202" i="1"/>
  <c r="AA210" i="1"/>
  <c r="AC210" i="1" s="1"/>
  <c r="AF210" i="1" s="1"/>
  <c r="AG210" i="1"/>
  <c r="AA218" i="1"/>
  <c r="AC218" i="1" s="1"/>
  <c r="AF218" i="1" s="1"/>
  <c r="AG218" i="1"/>
  <c r="AA226" i="1"/>
  <c r="AC226" i="1" s="1"/>
  <c r="AF226" i="1" s="1"/>
  <c r="AG226" i="1"/>
  <c r="AA234" i="1"/>
  <c r="AC234" i="1" s="1"/>
  <c r="AF234" i="1" s="1"/>
  <c r="AG234" i="1"/>
  <c r="AA242" i="1"/>
  <c r="AC242" i="1" s="1"/>
  <c r="AF242" i="1" s="1"/>
  <c r="AG242" i="1"/>
  <c r="AG250" i="1"/>
  <c r="AA250" i="1"/>
  <c r="AC250" i="1" s="1"/>
  <c r="AF250" i="1" s="1"/>
  <c r="AH250" i="1" s="1"/>
  <c r="AA258" i="1"/>
  <c r="AC258" i="1" s="1"/>
  <c r="AF258" i="1" s="1"/>
  <c r="AG258" i="1"/>
  <c r="AA266" i="1"/>
  <c r="AC266" i="1" s="1"/>
  <c r="AF266" i="1" s="1"/>
  <c r="AG266" i="1"/>
  <c r="AA274" i="1"/>
  <c r="AC274" i="1" s="1"/>
  <c r="AF274" i="1" s="1"/>
  <c r="AG274" i="1"/>
  <c r="AA282" i="1"/>
  <c r="AC282" i="1" s="1"/>
  <c r="AF282" i="1" s="1"/>
  <c r="AG282" i="1"/>
  <c r="AA290" i="1"/>
  <c r="AC290" i="1" s="1"/>
  <c r="AF290" i="1" s="1"/>
  <c r="AG290" i="1"/>
  <c r="AA298" i="1"/>
  <c r="AC298" i="1" s="1"/>
  <c r="AF298" i="1" s="1"/>
  <c r="AG298" i="1"/>
  <c r="AA306" i="1"/>
  <c r="AC306" i="1" s="1"/>
  <c r="AF306" i="1" s="1"/>
  <c r="AG306" i="1"/>
  <c r="AG7" i="1"/>
  <c r="AH7" i="1" s="1"/>
  <c r="AG14" i="1"/>
  <c r="AH14" i="1" s="1"/>
  <c r="AG13" i="1"/>
  <c r="AH13" i="1" s="1"/>
  <c r="AG109" i="1"/>
  <c r="AA109" i="1"/>
  <c r="AC109" i="1" s="1"/>
  <c r="AF109" i="1" s="1"/>
  <c r="AA197" i="1"/>
  <c r="AC197" i="1" s="1"/>
  <c r="AF197" i="1" s="1"/>
  <c r="AG197" i="1"/>
  <c r="AG46" i="1"/>
  <c r="AA46" i="1"/>
  <c r="AC46" i="1" s="1"/>
  <c r="AF46" i="1" s="1"/>
  <c r="AG102" i="1"/>
  <c r="AA102" i="1"/>
  <c r="AC102" i="1" s="1"/>
  <c r="AF102" i="1" s="1"/>
  <c r="AA142" i="1"/>
  <c r="AC142" i="1" s="1"/>
  <c r="AF142" i="1" s="1"/>
  <c r="AH142" i="1" s="1"/>
  <c r="AG142" i="1"/>
  <c r="AG174" i="1"/>
  <c r="AA174" i="1"/>
  <c r="AC174" i="1" s="1"/>
  <c r="AF174" i="1" s="1"/>
  <c r="AH174" i="1" s="1"/>
  <c r="AA190" i="1"/>
  <c r="AC190" i="1" s="1"/>
  <c r="AF190" i="1" s="1"/>
  <c r="AH190" i="1" s="1"/>
  <c r="AG190" i="1"/>
  <c r="AA206" i="1"/>
  <c r="AG206" i="1"/>
  <c r="AA222" i="1"/>
  <c r="AC222" i="1" s="1"/>
  <c r="AF222" i="1" s="1"/>
  <c r="AH222" i="1" s="1"/>
  <c r="AG222" i="1"/>
  <c r="AA238" i="1"/>
  <c r="AC238" i="1" s="1"/>
  <c r="AF238" i="1" s="1"/>
  <c r="AG238" i="1"/>
  <c r="AH238" i="1" s="1"/>
  <c r="AA246" i="1"/>
  <c r="AC246" i="1" s="1"/>
  <c r="AF246" i="1" s="1"/>
  <c r="AH246" i="1" s="1"/>
  <c r="AG246" i="1"/>
  <c r="AA262" i="1"/>
  <c r="AC262" i="1" s="1"/>
  <c r="AF262" i="1" s="1"/>
  <c r="AH262" i="1" s="1"/>
  <c r="AG262" i="1"/>
  <c r="AA270" i="1"/>
  <c r="AC270" i="1" s="1"/>
  <c r="AF270" i="1" s="1"/>
  <c r="AH270" i="1" s="1"/>
  <c r="AG270" i="1"/>
  <c r="AA286" i="1"/>
  <c r="AC286" i="1" s="1"/>
  <c r="AF286" i="1" s="1"/>
  <c r="AG286" i="1"/>
  <c r="AA294" i="1"/>
  <c r="AC294" i="1" s="1"/>
  <c r="AF294" i="1" s="1"/>
  <c r="AH294" i="1" s="1"/>
  <c r="AG294" i="1"/>
  <c r="AA310" i="1"/>
  <c r="AC310" i="1" s="1"/>
  <c r="AF310" i="1" s="1"/>
  <c r="AH310" i="1" s="1"/>
  <c r="AG310" i="1"/>
  <c r="AG79" i="1"/>
  <c r="AA79" i="1"/>
  <c r="AC79" i="1" s="1"/>
  <c r="AF79" i="1" s="1"/>
  <c r="AG135" i="1"/>
  <c r="AA135" i="1"/>
  <c r="AC135" i="1" s="1"/>
  <c r="AF135" i="1" s="1"/>
  <c r="AH135" i="1" s="1"/>
  <c r="AA175" i="1"/>
  <c r="AC175" i="1" s="1"/>
  <c r="AF175" i="1" s="1"/>
  <c r="AH175" i="1" s="1"/>
  <c r="AG175" i="1"/>
  <c r="AA199" i="1"/>
  <c r="AG199" i="1"/>
  <c r="AA215" i="1"/>
  <c r="AC215" i="1" s="1"/>
  <c r="AF215" i="1" s="1"/>
  <c r="AH215" i="1" s="1"/>
  <c r="AG215" i="1"/>
  <c r="AA239" i="1"/>
  <c r="AC239" i="1" s="1"/>
  <c r="AF239" i="1" s="1"/>
  <c r="AG239" i="1"/>
  <c r="AA247" i="1"/>
  <c r="AC247" i="1" s="1"/>
  <c r="AF247" i="1" s="1"/>
  <c r="AH247" i="1" s="1"/>
  <c r="AG247" i="1"/>
  <c r="AA263" i="1"/>
  <c r="AC263" i="1" s="1"/>
  <c r="AF263" i="1" s="1"/>
  <c r="AH263" i="1" s="1"/>
  <c r="AG263" i="1"/>
  <c r="AA271" i="1"/>
  <c r="AC271" i="1" s="1"/>
  <c r="AF271" i="1" s="1"/>
  <c r="AH271" i="1" s="1"/>
  <c r="AG271" i="1"/>
  <c r="AA279" i="1"/>
  <c r="AC279" i="1" s="1"/>
  <c r="AF279" i="1" s="1"/>
  <c r="AG279" i="1"/>
  <c r="AA295" i="1"/>
  <c r="AC295" i="1" s="1"/>
  <c r="AF295" i="1" s="1"/>
  <c r="AH295" i="1" s="1"/>
  <c r="AG295" i="1"/>
  <c r="AA303" i="1"/>
  <c r="AC303" i="1" s="1"/>
  <c r="AF303" i="1" s="1"/>
  <c r="AH303" i="1" s="1"/>
  <c r="AG303" i="1"/>
  <c r="AG6" i="1"/>
  <c r="AH6" i="1" s="1"/>
  <c r="AG26" i="1"/>
  <c r="AA26" i="1"/>
  <c r="AC26" i="1" s="1"/>
  <c r="AF26" i="1" s="1"/>
  <c r="AH26" i="1" s="1"/>
  <c r="AG34" i="1"/>
  <c r="AA34" i="1"/>
  <c r="AC34" i="1" s="1"/>
  <c r="AF34" i="1" s="1"/>
  <c r="AH34" i="1" s="1"/>
  <c r="AG42" i="1"/>
  <c r="AA42" i="1"/>
  <c r="AC42" i="1" s="1"/>
  <c r="AF42" i="1" s="1"/>
  <c r="AH42" i="1" s="1"/>
  <c r="AG50" i="1"/>
  <c r="AA50" i="1"/>
  <c r="AC50" i="1" s="1"/>
  <c r="AF50" i="1" s="1"/>
  <c r="AH50" i="1" s="1"/>
  <c r="AG58" i="1"/>
  <c r="AA58" i="1"/>
  <c r="AC58" i="1" s="1"/>
  <c r="AF58" i="1" s="1"/>
  <c r="AH58" i="1" s="1"/>
  <c r="AG74" i="1"/>
  <c r="AA74" i="1"/>
  <c r="AC74" i="1" s="1"/>
  <c r="AF74" i="1" s="1"/>
  <c r="AH74" i="1" s="1"/>
  <c r="AG82" i="1"/>
  <c r="AA82" i="1"/>
  <c r="AC82" i="1" s="1"/>
  <c r="AF82" i="1" s="1"/>
  <c r="AH82" i="1" s="1"/>
  <c r="AG90" i="1"/>
  <c r="AA90" i="1"/>
  <c r="AC90" i="1" s="1"/>
  <c r="AF90" i="1" s="1"/>
  <c r="AH90" i="1" s="1"/>
  <c r="AG98" i="1"/>
  <c r="AA98" i="1"/>
  <c r="AC98" i="1" s="1"/>
  <c r="AF98" i="1" s="1"/>
  <c r="AH98" i="1" s="1"/>
  <c r="AG106" i="1"/>
  <c r="AA106" i="1"/>
  <c r="AC106" i="1" s="1"/>
  <c r="AF106" i="1" s="1"/>
  <c r="AH106" i="1" s="1"/>
  <c r="AG122" i="1"/>
  <c r="AA122" i="1"/>
  <c r="AC122" i="1" s="1"/>
  <c r="AF122" i="1" s="1"/>
  <c r="AH122" i="1" s="1"/>
  <c r="AA154" i="1"/>
  <c r="AC154" i="1" s="1"/>
  <c r="AF154" i="1" s="1"/>
  <c r="AG154" i="1"/>
  <c r="AG27" i="1"/>
  <c r="AA27" i="1"/>
  <c r="AC27" i="1" s="1"/>
  <c r="AF27" i="1" s="1"/>
  <c r="AH27" i="1" s="1"/>
  <c r="AG35" i="1"/>
  <c r="AA35" i="1"/>
  <c r="AC35" i="1" s="1"/>
  <c r="AF35" i="1" s="1"/>
  <c r="AH35" i="1" s="1"/>
  <c r="AG43" i="1"/>
  <c r="AA43" i="1"/>
  <c r="AC43" i="1" s="1"/>
  <c r="AF43" i="1" s="1"/>
  <c r="AH43" i="1" s="1"/>
  <c r="AG51" i="1"/>
  <c r="AA51" i="1"/>
  <c r="AC51" i="1" s="1"/>
  <c r="AF51" i="1" s="1"/>
  <c r="AH51" i="1" s="1"/>
  <c r="AG59" i="1"/>
  <c r="AA59" i="1"/>
  <c r="AC59" i="1" s="1"/>
  <c r="AF59" i="1" s="1"/>
  <c r="AH59" i="1" s="1"/>
  <c r="AG67" i="1"/>
  <c r="AA67" i="1"/>
  <c r="AC67" i="1" s="1"/>
  <c r="AF67" i="1" s="1"/>
  <c r="AH67" i="1" s="1"/>
  <c r="AG75" i="1"/>
  <c r="AA75" i="1"/>
  <c r="AC75" i="1" s="1"/>
  <c r="AF75" i="1" s="1"/>
  <c r="AH75" i="1" s="1"/>
  <c r="AG83" i="1"/>
  <c r="AA83" i="1"/>
  <c r="AC83" i="1" s="1"/>
  <c r="AF83" i="1" s="1"/>
  <c r="AH83" i="1" s="1"/>
  <c r="AG91" i="1"/>
  <c r="AA91" i="1"/>
  <c r="AC91" i="1" s="1"/>
  <c r="AF91" i="1" s="1"/>
  <c r="AH91" i="1" s="1"/>
  <c r="AG99" i="1"/>
  <c r="AA99" i="1"/>
  <c r="AC99" i="1" s="1"/>
  <c r="AF99" i="1" s="1"/>
  <c r="AH99" i="1" s="1"/>
  <c r="AG107" i="1"/>
  <c r="AA107" i="1"/>
  <c r="AC107" i="1" s="1"/>
  <c r="AF107" i="1" s="1"/>
  <c r="AH107" i="1" s="1"/>
  <c r="AG115" i="1"/>
  <c r="AA115" i="1"/>
  <c r="AC115" i="1" s="1"/>
  <c r="AF115" i="1" s="1"/>
  <c r="AH115" i="1" s="1"/>
  <c r="AG123" i="1"/>
  <c r="AA123" i="1"/>
  <c r="AC123" i="1" s="1"/>
  <c r="AF123" i="1" s="1"/>
  <c r="AH123" i="1" s="1"/>
  <c r="AG131" i="1"/>
  <c r="AA131" i="1"/>
  <c r="AC131" i="1" s="1"/>
  <c r="AF131" i="1" s="1"/>
  <c r="AH131" i="1" s="1"/>
  <c r="AA139" i="1"/>
  <c r="AC139" i="1" s="1"/>
  <c r="AF139" i="1" s="1"/>
  <c r="AG139" i="1"/>
  <c r="AA147" i="1"/>
  <c r="AC147" i="1" s="1"/>
  <c r="AF147" i="1" s="1"/>
  <c r="AG147" i="1"/>
  <c r="AA155" i="1"/>
  <c r="AC155" i="1" s="1"/>
  <c r="AF155" i="1" s="1"/>
  <c r="AG155" i="1"/>
  <c r="AA163" i="1"/>
  <c r="AC163" i="1" s="1"/>
  <c r="AF163" i="1" s="1"/>
  <c r="AG163" i="1"/>
  <c r="AA171" i="1"/>
  <c r="AC171" i="1" s="1"/>
  <c r="AF171" i="1" s="1"/>
  <c r="AG171" i="1"/>
  <c r="AG179" i="1"/>
  <c r="AA179" i="1"/>
  <c r="AC179" i="1" s="1"/>
  <c r="AF179" i="1" s="1"/>
  <c r="AH179" i="1" s="1"/>
  <c r="AG187" i="1"/>
  <c r="AA187" i="1"/>
  <c r="AC187" i="1" s="1"/>
  <c r="AF187" i="1" s="1"/>
  <c r="AH187" i="1" s="1"/>
  <c r="AA195" i="1"/>
  <c r="AC195" i="1" s="1"/>
  <c r="AF195" i="1" s="1"/>
  <c r="AG195" i="1"/>
  <c r="AA203" i="1"/>
  <c r="AG203" i="1"/>
  <c r="AA211" i="1"/>
  <c r="AC211" i="1" s="1"/>
  <c r="AF211" i="1" s="1"/>
  <c r="AG211" i="1"/>
  <c r="AA219" i="1"/>
  <c r="AC219" i="1" s="1"/>
  <c r="AF219" i="1" s="1"/>
  <c r="AG219" i="1"/>
  <c r="AA227" i="1"/>
  <c r="AC227" i="1" s="1"/>
  <c r="AF227" i="1" s="1"/>
  <c r="AG227" i="1"/>
  <c r="AA235" i="1"/>
  <c r="AC235" i="1" s="1"/>
  <c r="AF235" i="1" s="1"/>
  <c r="AG235" i="1"/>
  <c r="AA243" i="1"/>
  <c r="AC243" i="1" s="1"/>
  <c r="AF243" i="1" s="1"/>
  <c r="AG243" i="1"/>
  <c r="AH243" i="1" s="1"/>
  <c r="AA251" i="1"/>
  <c r="AC251" i="1" s="1"/>
  <c r="AF251" i="1" s="1"/>
  <c r="AG251" i="1"/>
  <c r="AA259" i="1"/>
  <c r="AC259" i="1" s="1"/>
  <c r="AF259" i="1" s="1"/>
  <c r="AG259" i="1"/>
  <c r="AA267" i="1"/>
  <c r="AC267" i="1" s="1"/>
  <c r="AF267" i="1" s="1"/>
  <c r="AG267" i="1"/>
  <c r="AA275" i="1"/>
  <c r="AC275" i="1" s="1"/>
  <c r="AF275" i="1" s="1"/>
  <c r="AG275" i="1"/>
  <c r="AH275" i="1" s="1"/>
  <c r="AA283" i="1"/>
  <c r="AC283" i="1" s="1"/>
  <c r="AF283" i="1" s="1"/>
  <c r="AG283" i="1"/>
  <c r="AA291" i="1"/>
  <c r="AC291" i="1" s="1"/>
  <c r="AF291" i="1" s="1"/>
  <c r="AG291" i="1"/>
  <c r="AA299" i="1"/>
  <c r="AC299" i="1" s="1"/>
  <c r="AF299" i="1" s="1"/>
  <c r="AG299" i="1"/>
  <c r="AA307" i="1"/>
  <c r="AC307" i="1" s="1"/>
  <c r="AF307" i="1" s="1"/>
  <c r="AG307" i="1"/>
  <c r="AG2" i="1"/>
  <c r="AH2" i="1" s="1"/>
  <c r="AG9" i="1"/>
  <c r="AH9" i="1" s="1"/>
  <c r="AG21" i="1"/>
  <c r="AH21" i="1" s="1"/>
  <c r="AG28" i="1"/>
  <c r="AA28" i="1"/>
  <c r="AC28" i="1" s="1"/>
  <c r="AF28" i="1" s="1"/>
  <c r="AG36" i="1"/>
  <c r="AA36" i="1"/>
  <c r="AC36" i="1" s="1"/>
  <c r="AF36" i="1" s="1"/>
  <c r="AG44" i="1"/>
  <c r="AA44" i="1"/>
  <c r="AC44" i="1" s="1"/>
  <c r="AF44" i="1" s="1"/>
  <c r="AG52" i="1"/>
  <c r="AA52" i="1"/>
  <c r="AC52" i="1" s="1"/>
  <c r="AF52" i="1" s="1"/>
  <c r="AH52" i="1" s="1"/>
  <c r="AG60" i="1"/>
  <c r="AA60" i="1"/>
  <c r="AC60" i="1" s="1"/>
  <c r="AF60" i="1" s="1"/>
  <c r="AG68" i="1"/>
  <c r="AA68" i="1"/>
  <c r="AC68" i="1" s="1"/>
  <c r="AF68" i="1" s="1"/>
  <c r="AG76" i="1"/>
  <c r="AA76" i="1"/>
  <c r="AC76" i="1" s="1"/>
  <c r="AF76" i="1" s="1"/>
  <c r="AG84" i="1"/>
  <c r="AA84" i="1"/>
  <c r="AC84" i="1" s="1"/>
  <c r="AF84" i="1" s="1"/>
  <c r="AH84" i="1" s="1"/>
  <c r="AG92" i="1"/>
  <c r="AA92" i="1"/>
  <c r="AC92" i="1" s="1"/>
  <c r="AF92" i="1" s="1"/>
  <c r="AG100" i="1"/>
  <c r="AA100" i="1"/>
  <c r="AC100" i="1" s="1"/>
  <c r="AF100" i="1" s="1"/>
  <c r="AG108" i="1"/>
  <c r="AA108" i="1"/>
  <c r="AC108" i="1" s="1"/>
  <c r="AF108" i="1" s="1"/>
  <c r="AG116" i="1"/>
  <c r="AA116" i="1"/>
  <c r="AC116" i="1" s="1"/>
  <c r="AF116" i="1" s="1"/>
  <c r="AH116" i="1" s="1"/>
  <c r="AG124" i="1"/>
  <c r="AA124" i="1"/>
  <c r="AC124" i="1" s="1"/>
  <c r="AF124" i="1" s="1"/>
  <c r="AG132" i="1"/>
  <c r="AA132" i="1"/>
  <c r="AC132" i="1" s="1"/>
  <c r="AF132" i="1" s="1"/>
  <c r="AA140" i="1"/>
  <c r="AC140" i="1" s="1"/>
  <c r="AF140" i="1" s="1"/>
  <c r="AH140" i="1" s="1"/>
  <c r="AG140" i="1"/>
  <c r="AA148" i="1"/>
  <c r="AC148" i="1" s="1"/>
  <c r="AF148" i="1" s="1"/>
  <c r="AG148" i="1"/>
  <c r="AA156" i="1"/>
  <c r="AC156" i="1" s="1"/>
  <c r="AF156" i="1" s="1"/>
  <c r="AH156" i="1" s="1"/>
  <c r="AG156" i="1"/>
  <c r="AA164" i="1"/>
  <c r="AC164" i="1" s="1"/>
  <c r="AF164" i="1" s="1"/>
  <c r="AH164" i="1" s="1"/>
  <c r="AG164" i="1"/>
  <c r="AA172" i="1"/>
  <c r="AC172" i="1" s="1"/>
  <c r="AF172" i="1" s="1"/>
  <c r="AH172" i="1" s="1"/>
  <c r="AG172" i="1"/>
  <c r="AA180" i="1"/>
  <c r="AC180" i="1" s="1"/>
  <c r="AF180" i="1" s="1"/>
  <c r="AG180" i="1"/>
  <c r="AA188" i="1"/>
  <c r="AC188" i="1" s="1"/>
  <c r="AF188" i="1" s="1"/>
  <c r="AH188" i="1" s="1"/>
  <c r="AG188" i="1"/>
  <c r="AA196" i="1"/>
  <c r="AC196" i="1" s="1"/>
  <c r="AF196" i="1" s="1"/>
  <c r="AH196" i="1" s="1"/>
  <c r="AG196" i="1"/>
  <c r="AA204" i="1"/>
  <c r="AG204" i="1"/>
  <c r="AA212" i="1"/>
  <c r="AC212" i="1" s="1"/>
  <c r="AF212" i="1" s="1"/>
  <c r="AG212" i="1"/>
  <c r="AA220" i="1"/>
  <c r="AC220" i="1" s="1"/>
  <c r="AF220" i="1" s="1"/>
  <c r="AH220" i="1" s="1"/>
  <c r="AG220" i="1"/>
  <c r="AA228" i="1"/>
  <c r="AC228" i="1" s="1"/>
  <c r="AF228" i="1" s="1"/>
  <c r="AH228" i="1" s="1"/>
  <c r="AG228" i="1"/>
  <c r="AA236" i="1"/>
  <c r="AC236" i="1" s="1"/>
  <c r="AF236" i="1" s="1"/>
  <c r="AH236" i="1" s="1"/>
  <c r="AG236" i="1"/>
  <c r="AA244" i="1"/>
  <c r="AC244" i="1" s="1"/>
  <c r="AF244" i="1" s="1"/>
  <c r="AG244" i="1"/>
  <c r="AA252" i="1"/>
  <c r="AC252" i="1" s="1"/>
  <c r="AF252" i="1" s="1"/>
  <c r="AH252" i="1" s="1"/>
  <c r="AG252" i="1"/>
  <c r="AA260" i="1"/>
  <c r="AC260" i="1" s="1"/>
  <c r="AF260" i="1" s="1"/>
  <c r="AG260" i="1"/>
  <c r="AA268" i="1"/>
  <c r="AC268" i="1" s="1"/>
  <c r="AF268" i="1" s="1"/>
  <c r="AH268" i="1" s="1"/>
  <c r="AG268" i="1"/>
  <c r="AA276" i="1"/>
  <c r="AC276" i="1" s="1"/>
  <c r="AF276" i="1" s="1"/>
  <c r="AG276" i="1"/>
  <c r="AA284" i="1"/>
  <c r="AC284" i="1" s="1"/>
  <c r="AF284" i="1" s="1"/>
  <c r="AH284" i="1" s="1"/>
  <c r="AG284" i="1"/>
  <c r="AA292" i="1"/>
  <c r="AC292" i="1" s="1"/>
  <c r="AF292" i="1" s="1"/>
  <c r="AH292" i="1" s="1"/>
  <c r="AG292" i="1"/>
  <c r="AA300" i="1"/>
  <c r="AC300" i="1" s="1"/>
  <c r="AF300" i="1" s="1"/>
  <c r="AH300" i="1" s="1"/>
  <c r="AG300" i="1"/>
  <c r="AA308" i="1"/>
  <c r="AC308" i="1" s="1"/>
  <c r="AF308" i="1" s="1"/>
  <c r="AG308" i="1"/>
  <c r="AG3" i="1"/>
  <c r="AH3" i="1" s="1"/>
  <c r="AG10" i="1"/>
  <c r="AH10" i="1" s="1"/>
  <c r="AG20" i="1"/>
  <c r="AH20" i="1" s="1"/>
  <c r="AC209" i="1" l="1"/>
  <c r="AF209" i="1"/>
  <c r="AH209" i="1" s="1"/>
  <c r="AC208" i="1"/>
  <c r="AF208" i="1" s="1"/>
  <c r="AH208" i="1" s="1"/>
  <c r="AH260" i="1"/>
  <c r="AH132" i="1"/>
  <c r="AH100" i="1"/>
  <c r="AH68" i="1"/>
  <c r="AH36" i="1"/>
  <c r="AH307" i="1"/>
  <c r="AH211" i="1"/>
  <c r="AH147" i="1"/>
  <c r="AH154" i="1"/>
  <c r="AH102" i="1"/>
  <c r="AH290" i="1"/>
  <c r="AH258" i="1"/>
  <c r="AH226" i="1"/>
  <c r="AH194" i="1"/>
  <c r="AH162" i="1"/>
  <c r="AH105" i="1"/>
  <c r="AH73" i="1"/>
  <c r="AH41" i="1"/>
  <c r="AH111" i="1"/>
  <c r="AH39" i="1"/>
  <c r="AH110" i="1"/>
  <c r="AH30" i="1"/>
  <c r="AH181" i="1"/>
  <c r="AH104" i="1"/>
  <c r="AH72" i="1"/>
  <c r="AH40" i="1"/>
  <c r="AH287" i="1"/>
  <c r="AH183" i="1"/>
  <c r="AH230" i="1"/>
  <c r="AH150" i="1"/>
  <c r="AH301" i="1"/>
  <c r="AH269" i="1"/>
  <c r="AH229" i="1"/>
  <c r="AH165" i="1"/>
  <c r="AC199" i="1"/>
  <c r="AF199" i="1"/>
  <c r="AH199" i="1" s="1"/>
  <c r="AC206" i="1"/>
  <c r="AF206" i="1"/>
  <c r="AH206" i="1" s="1"/>
  <c r="AC201" i="1"/>
  <c r="AF201" i="1"/>
  <c r="AH201" i="1" s="1"/>
  <c r="AC200" i="1"/>
  <c r="AF200" i="1"/>
  <c r="AH200" i="1" s="1"/>
  <c r="AH124" i="1"/>
  <c r="AH92" i="1"/>
  <c r="AH60" i="1"/>
  <c r="AH28" i="1"/>
  <c r="AH299" i="1"/>
  <c r="AH267" i="1"/>
  <c r="AH235" i="1"/>
  <c r="AC203" i="1"/>
  <c r="AF203" i="1"/>
  <c r="AH203" i="1" s="1"/>
  <c r="AH171" i="1"/>
  <c r="AH139" i="1"/>
  <c r="AH46" i="1"/>
  <c r="AH282" i="1"/>
  <c r="AH218" i="1"/>
  <c r="AH146" i="1"/>
  <c r="AH33" i="1"/>
  <c r="AH95" i="1"/>
  <c r="AH86" i="1"/>
  <c r="AH173" i="1"/>
  <c r="AH255" i="1"/>
  <c r="AH159" i="1"/>
  <c r="AH302" i="1"/>
  <c r="AH198" i="1"/>
  <c r="AH293" i="1"/>
  <c r="AH261" i="1"/>
  <c r="AH221" i="1"/>
  <c r="AH149" i="1"/>
  <c r="AH193" i="1"/>
  <c r="AH161" i="1"/>
  <c r="AH224" i="1"/>
  <c r="AH192" i="1"/>
  <c r="AH160" i="1"/>
  <c r="AC204" i="1"/>
  <c r="AF204" i="1"/>
  <c r="AH204" i="1" s="1"/>
  <c r="AC241" i="1"/>
  <c r="AF241" i="1" s="1"/>
  <c r="AH241" i="1" s="1"/>
  <c r="AH291" i="1"/>
  <c r="AH259" i="1"/>
  <c r="AH227" i="1"/>
  <c r="AH195" i="1"/>
  <c r="AH163" i="1"/>
  <c r="AH306" i="1"/>
  <c r="AH274" i="1"/>
  <c r="AH242" i="1"/>
  <c r="AH210" i="1"/>
  <c r="AH178" i="1"/>
  <c r="AH138" i="1"/>
  <c r="AH245" i="1"/>
  <c r="AH157" i="1"/>
  <c r="AH231" i="1"/>
  <c r="AH143" i="1"/>
  <c r="AH278" i="1"/>
  <c r="AH285" i="1"/>
  <c r="AH253" i="1"/>
  <c r="AH244" i="1"/>
  <c r="AH180" i="1"/>
  <c r="AH148" i="1"/>
  <c r="AH279" i="1"/>
  <c r="AH239" i="1"/>
  <c r="AH286" i="1"/>
  <c r="AH197" i="1"/>
  <c r="AH281" i="1"/>
  <c r="AC249" i="1"/>
  <c r="AF249" i="1" s="1"/>
  <c r="AH249" i="1" s="1"/>
  <c r="AH217" i="1"/>
  <c r="AH153" i="1"/>
  <c r="AH151" i="1"/>
  <c r="AH166" i="1"/>
  <c r="AH280" i="1"/>
  <c r="AH248" i="1"/>
  <c r="AH216" i="1"/>
  <c r="AH184" i="1"/>
  <c r="AH152" i="1"/>
  <c r="AH119" i="1"/>
  <c r="AH47" i="1"/>
  <c r="AH94" i="1"/>
  <c r="AH308" i="1"/>
  <c r="AH276" i="1"/>
  <c r="AH212" i="1"/>
  <c r="AH108" i="1"/>
  <c r="AH76" i="1"/>
  <c r="AH44" i="1"/>
  <c r="AH283" i="1"/>
  <c r="AH251" i="1"/>
  <c r="AH219" i="1"/>
  <c r="AH155" i="1"/>
  <c r="AH79" i="1"/>
  <c r="AH109" i="1"/>
  <c r="AH298" i="1"/>
  <c r="AH266" i="1"/>
  <c r="AH234" i="1"/>
  <c r="AC202" i="1"/>
  <c r="AF202" i="1"/>
  <c r="AH202" i="1" s="1"/>
  <c r="AH170" i="1"/>
  <c r="AH273" i="1"/>
  <c r="AH113" i="1"/>
  <c r="AH81" i="1"/>
  <c r="AH49" i="1"/>
  <c r="AH127" i="1"/>
  <c r="AH55" i="1"/>
  <c r="AH134" i="1"/>
  <c r="AH54" i="1"/>
  <c r="AC205" i="1"/>
  <c r="AF205" i="1"/>
  <c r="AH205" i="1" s="1"/>
  <c r="AH141" i="1"/>
  <c r="AH240" i="1"/>
  <c r="AH112" i="1"/>
  <c r="AH80" i="1"/>
  <c r="AH48" i="1"/>
  <c r="AC207" i="1"/>
  <c r="AF207" i="1"/>
  <c r="AH207" i="1" s="1"/>
  <c r="AH277" i="1"/>
  <c r="AH237" i="1"/>
  <c r="AH18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tc={BCA7A140-B6D2-46B9-A95C-5FA02F7D2CF2}</author>
    <author>tc={AF36CC1F-CFD9-4CF4-936D-8ABFF20716C6}</author>
    <author>tc={0368B062-BDE1-4DC1-BF63-98D1A5772ABB}</author>
    <author>tc={F7F5D9E7-7D5A-498F-B671-D2F65028D523}</author>
    <author>tc={AB3DC116-6E39-487F-9051-547E560355CC}</author>
    <author>tc={BAD76588-1460-4680-9242-BA245C99F31C}</author>
    <author>tc={64D4B0BE-3F53-450E-A2B3-E3EA34447B74}</author>
    <author>tc={C27D89EE-3342-4F6B-AE01-1D234FE9E71E}</author>
    <author>tc={F85E036B-B821-47E4-813E-473E35C249DB}</author>
    <author>tc={538517D3-591F-41DB-A619-5D949A1EFA19}</author>
    <author>tc={9F706A33-9A08-4A13-BC94-5ECF18BCCF8E}</author>
    <author>tc={7A96143D-D3CB-4FA5-8B10-AD7DAD724AD4}</author>
    <author>Digitador Camal</author>
    <author>Steven Garcia</author>
  </authors>
  <commentList>
    <comment ref="J1" authorId="0" shapeId="0" xr:uid="{BCA7A140-B6D2-46B9-A95C-5FA02F7D2CF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Unidades = Cantidad de cerdos</t>
      </text>
    </comment>
    <comment ref="K1" authorId="1" shapeId="0" xr:uid="{AF36CC1F-CFD9-4CF4-936D-8ABFF20716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Ejemplos: Rabos reventados, columnas fracturadas, etc.</t>
      </text>
    </comment>
    <comment ref="M1" authorId="2" shapeId="0" xr:uid="{0368B062-BDE1-4DC1-BF63-98D1A5772A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Ejemplo: Rasguños, dermatitis, laceraciones, etc.</t>
      </text>
    </comment>
    <comment ref="N1" authorId="3" shapeId="0" xr:uid="{F7F5D9E7-7D5A-498F-B671-D2F65028D5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debe modificar en caso que cambie tendencias.</t>
      </text>
    </comment>
    <comment ref="O1" authorId="4" shapeId="0" xr:uid="{AB3DC116-6E39-487F-9051-547E560355C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Representa qué proporción del peso vivo se convierte en producto útil después del proceso.</t>
      </text>
    </comment>
    <comment ref="R1" authorId="5" shapeId="0" xr:uid="{BAD76588-1460-4680-9242-BA245C99F31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Proporción de unidades buenas (sin defectos) respecto al total producido </t>
      </text>
    </comment>
    <comment ref="V1" authorId="6" shapeId="0" xr:uid="{64D4B0BE-3F53-450E-A2B3-E3EA34447B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Paras no planificadas.</t>
      </text>
    </comment>
    <comment ref="W1" authorId="7" shapeId="0" xr:uid="{C27D89EE-3342-4F6B-AE01-1D234FE9E7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Paras no planificadas.</t>
      </text>
    </comment>
    <comment ref="Y1" authorId="8" shapeId="0" xr:uid="{F85E036B-B821-47E4-813E-473E35C249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planificado.</t>
      </text>
    </comment>
    <comment ref="Z1" authorId="9" shapeId="0" xr:uid="{538517D3-591F-41DB-A619-5D949A1EFA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Paras programadas: Almuerzo.</t>
      </text>
    </comment>
    <comment ref="AF1" authorId="10" shapeId="0" xr:uid="{9F706A33-9A08-4A13-BC94-5ECF18BCCF8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Representa el tiempo durante el cual el equipo opera de manera efectiva dentro del intervalo total programado para la producción.  </t>
      </text>
    </comment>
    <comment ref="AG1" authorId="11" shapeId="0" xr:uid="{7A96143D-D3CB-4FA5-8B10-AD7DAD724A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Ratio que expresa la comparativa entre el tiempo de ciclo ideal y el tiempo de ciclo real.</t>
      </text>
    </comment>
    <comment ref="S232" authorId="12" shapeId="0" xr:uid="{41507DD6-91E4-483F-9850-94D3E12899B4}">
      <text>
        <r>
          <rPr>
            <sz val="11"/>
            <color theme="1"/>
            <rFont val="Aptos Narrow"/>
            <family val="2"/>
            <scheme val="minor"/>
          </rPr>
          <t>Digitador Camal:
5 Operarios prestados de faena</t>
        </r>
      </text>
    </comment>
    <comment ref="X236" authorId="13" shapeId="0" xr:uid="{3131BD38-A134-4949-AD07-28D35165D475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Ganchos</t>
        </r>
      </text>
    </comment>
    <comment ref="X240" authorId="12" shapeId="0" xr:uid="{6E97F2B6-BD80-41FB-ACE7-EE3E0402641B}">
      <text>
        <r>
          <rPr>
            <sz val="11"/>
            <color theme="1"/>
            <rFont val="Aptos Narrow"/>
            <family val="2"/>
            <scheme val="minor"/>
          </rPr>
          <t xml:space="preserve">Digitador Camal:
Compresor de aire
</t>
        </r>
      </text>
    </comment>
    <comment ref="S242" authorId="12" shapeId="0" xr:uid="{D86ADFB5-AC71-4CAB-92AB-0343192F4A34}">
      <text>
        <r>
          <rPr>
            <sz val="11"/>
            <color theme="1"/>
            <rFont val="Aptos Narrow"/>
            <family val="2"/>
            <scheme val="minor"/>
          </rPr>
          <t>Digitador Camal:
Se unieron en linea (Digitador y Asistente de produccion)</t>
        </r>
      </text>
    </comment>
    <comment ref="S244" authorId="12" shapeId="0" xr:uid="{7171C675-1D7F-48A0-A7A5-76914568D910}">
      <text>
        <r>
          <rPr>
            <sz val="11"/>
            <color theme="1"/>
            <rFont val="Aptos Narrow"/>
            <family val="2"/>
            <scheme val="minor"/>
          </rPr>
          <t>Digitador Camal:
Se unieron en linea (Digitador y Asistente de produccion)</t>
        </r>
      </text>
    </comment>
    <comment ref="S245" authorId="12" shapeId="0" xr:uid="{94BBCDCA-D374-480B-AF2C-E8CC36762905}">
      <text>
        <r>
          <rPr>
            <sz val="11"/>
            <color theme="1"/>
            <rFont val="Aptos Narrow"/>
            <family val="2"/>
            <scheme val="minor"/>
          </rPr>
          <t>Digitador Camal:
Se unieron en linea (Digitador y Asistente de produccion)</t>
        </r>
      </text>
    </comment>
    <comment ref="S246" authorId="12" shapeId="0" xr:uid="{6868A543-02A8-432D-8E5C-D2085F687A2E}">
      <text>
        <r>
          <rPr>
            <sz val="11"/>
            <color theme="1"/>
            <rFont val="Aptos Narrow"/>
            <family val="2"/>
            <scheme val="minor"/>
          </rPr>
          <t>Digitador Camal:
Se unieron en linea (Digitador y Asistente de produccion)</t>
        </r>
      </text>
    </comment>
    <comment ref="S247" authorId="12" shapeId="0" xr:uid="{649327D2-91C2-431D-BB92-B5B0728206B0}">
      <text>
        <r>
          <rPr>
            <sz val="11"/>
            <color theme="1"/>
            <rFont val="Aptos Narrow"/>
            <family val="2"/>
            <scheme val="minor"/>
          </rPr>
          <t>Digitador Camal:
Se unieron en linea (Digitador y Asistente de produccion)</t>
        </r>
      </text>
    </comment>
    <comment ref="S248" authorId="13" shapeId="0" xr:uid="{4AA19DBF-7C17-46BA-A049-49B8750B4208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9 operarios prestados de faenamiento</t>
        </r>
      </text>
    </comment>
    <comment ref="E249" authorId="13" shapeId="0" xr:uid="{FD1A3357-FB42-4B70-B78B-19FB9E817FE8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Italimentos
</t>
        </r>
      </text>
    </comment>
    <comment ref="S249" authorId="13" shapeId="0" xr:uid="{A5ABAB3B-380A-42E2-83F0-393713CEB754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9 operarios prestados de faenamiento</t>
        </r>
      </text>
    </comment>
    <comment ref="S250" authorId="13" shapeId="0" xr:uid="{E03EDE1C-6986-4A78-9770-D08766358D91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9 operarios prestados de faenamiento</t>
        </r>
      </text>
    </comment>
    <comment ref="S251" authorId="12" shapeId="0" xr:uid="{2CBF1C60-3A5A-4F45-8DCE-84738F661655}">
      <text>
        <r>
          <rPr>
            <sz val="11"/>
            <color theme="1"/>
            <rFont val="Aptos Narrow"/>
            <family val="2"/>
            <scheme val="minor"/>
          </rPr>
          <t>Digitador Camal:
Se unieron en linea (Digitador y Asistente de produccion)</t>
        </r>
      </text>
    </comment>
    <comment ref="E259" authorId="13" shapeId="0" xr:uid="{4E585101-1FEE-486D-A02F-286273583042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Italimentos
</t>
        </r>
      </text>
    </comment>
    <comment ref="S264" authorId="13" shapeId="0" xr:uid="{A74C49E3-863E-4C0F-A43B-417E26DC5C8E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14 Operarios de faena</t>
        </r>
      </text>
    </comment>
    <comment ref="E270" authorId="13" shapeId="0" xr:uid="{1F19AA95-F143-42AF-9FF4-AF49B55818E1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Italimentos
</t>
        </r>
      </text>
    </comment>
    <comment ref="X276" authorId="13" shapeId="0" xr:uid="{7ABCE033-F2BE-4D7C-95D0-97912C5F2679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No habia agua</t>
        </r>
      </text>
    </comment>
    <comment ref="E278" authorId="13" shapeId="0" xr:uid="{E3D6A275-A345-475B-87F1-9BFD854F1500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Italimentos
</t>
        </r>
      </text>
    </comment>
    <comment ref="S286" authorId="13" shapeId="0" xr:uid="{9230D543-5722-4C3E-A562-5DD05F0B421B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Se prestaron 6 operarios de faena</t>
        </r>
      </text>
    </comment>
    <comment ref="S287" authorId="13" shapeId="0" xr:uid="{B909C2B9-5A67-440E-9F37-273A9F78D516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Se prestaron 6 operarios de faena</t>
        </r>
      </text>
    </comment>
    <comment ref="S288" authorId="13" shapeId="0" xr:uid="{A2303F3F-3DA8-4C94-BE95-D7A9ABBC39C1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Se presto 7 operarios de faenamiento</t>
        </r>
      </text>
    </comment>
    <comment ref="S289" authorId="13" shapeId="0" xr:uid="{AA323F4E-3CBB-490A-9CE4-0BC2345DE7D5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Se presto 7 operarios de faenamiento</t>
        </r>
      </text>
    </comment>
    <comment ref="S310" authorId="13" shapeId="0" xr:uid="{2B93E160-94CA-457A-854F-056256AA51FE}">
      <text>
        <r>
          <rPr>
            <b/>
            <sz val="9"/>
            <color indexed="81"/>
            <rFont val="Tahoma"/>
            <family val="2"/>
          </rPr>
          <t>Steven Garcia:</t>
        </r>
        <r>
          <rPr>
            <sz val="9"/>
            <color indexed="81"/>
            <rFont val="Tahoma"/>
            <family val="2"/>
          </rPr>
          <t xml:space="preserve">
Ayudaron 6 operarios de faena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ABBC18-CF70-4635-99FF-0046E1720C58}" keepAlive="1" name="Consulta - Tabla7" description="Conexión a la consulta 'Tabla7' en el libro." type="5" refreshedVersion="8" background="1" saveData="1">
    <dbPr connection="Provider=Microsoft.Mashup.OleDb.1;Data Source=$Workbook$;Location=Tabla7;Extended Properties=&quot;&quot;" command="SELECT * FROM [Tabla7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<sst xmlns="http://schemas.openxmlformats.org/spreadsheetml/2006/main" count="1145" uniqueCount="85">
  <si>
    <t>SEMANA</t>
  </si>
  <si>
    <t>FECHA DE PROCESO</t>
  </si>
  <si>
    <t>CODIGO</t>
  </si>
  <si>
    <t>EAN</t>
  </si>
  <si>
    <t>LÍNEA PRODUCCION</t>
  </si>
  <si>
    <t>DESCRIPCIÓN
ARTÍCULO</t>
  </si>
  <si>
    <t>KILOGRAMOS EN PIE</t>
  </si>
  <si>
    <t>KILOGRAMOS PROCESADOS</t>
  </si>
  <si>
    <t>CANTIDAD DE CERDOS</t>
  </si>
  <si>
    <t>UNIDADES CON DEFECTOS PROCESO</t>
  </si>
  <si>
    <t>DEFECTOS PROCESO</t>
  </si>
  <si>
    <t>UNIDADES CON DEFECTOS GRANJA</t>
  </si>
  <si>
    <t>DEFECTOS GRANJA</t>
  </si>
  <si>
    <t>ESTÁNDAR</t>
  </si>
  <si>
    <t>RENDIMIENTO DE LÍNEA</t>
  </si>
  <si>
    <t>PESO PROMEDIO EN PIE</t>
  </si>
  <si>
    <t>PESO PROMEDIO PROCESADO</t>
  </si>
  <si>
    <t>%CALIDAD</t>
  </si>
  <si>
    <t>CANTIDAD DE PERSONAL</t>
  </si>
  <si>
    <t>HORA DE INICIO</t>
  </si>
  <si>
    <t>HORA DE FIN</t>
  </si>
  <si>
    <t>HORA DE INICIO PARA</t>
  </si>
  <si>
    <t>HORA DE FIN PARA</t>
  </si>
  <si>
    <t>MOTIVOS DE PARADAS</t>
  </si>
  <si>
    <t>HORAS DE PARAS NO PLANIFICADAS</t>
  </si>
  <si>
    <t>HORAS DE PARAS PLANIFICADAS</t>
  </si>
  <si>
    <t>HORAS PROGRAMADAS</t>
  </si>
  <si>
    <t>HORAS PRODUCTIVAS</t>
  </si>
  <si>
    <t>VARIACIÓN DE HORAS EN PRODUCCIÓN</t>
  </si>
  <si>
    <t>UNIDADES/HORA</t>
  </si>
  <si>
    <t>KILOS/HORA/HOMBRE</t>
  </si>
  <si>
    <t>%DISPONIBILIDAD</t>
  </si>
  <si>
    <t>%RENDIMIENTO</t>
  </si>
  <si>
    <t>OEE</t>
  </si>
  <si>
    <t>PPRO000099</t>
  </si>
  <si>
    <t>MOLINOS CHAMPION S.F</t>
  </si>
  <si>
    <t>PP CANAL DE CERDO EVISCERADO</t>
  </si>
  <si>
    <t>ENGORDE</t>
  </si>
  <si>
    <t>PPRO000209</t>
  </si>
  <si>
    <t>REPRODUCTORA</t>
  </si>
  <si>
    <t>DESCARTES</t>
  </si>
  <si>
    <t>BAJO PESO</t>
  </si>
  <si>
    <t>PP CANAL CERDO EVISCERADO REPRODUCTOR/A</t>
  </si>
  <si>
    <t>PICADURAS</t>
  </si>
  <si>
    <t>DERMATITIS</t>
  </si>
  <si>
    <t>DERMATITIS/PICADURAS</t>
  </si>
  <si>
    <t>DERMATITIS LEVE</t>
  </si>
  <si>
    <t>DERMATITS LEVE</t>
  </si>
  <si>
    <t xml:space="preserve">DERMATITS </t>
  </si>
  <si>
    <t>HEMATOMAS</t>
  </si>
  <si>
    <t>DERMATITIS/HEMATOMAS</t>
  </si>
  <si>
    <t>PROPALCOL</t>
  </si>
  <si>
    <t>MASTERTEC</t>
  </si>
  <si>
    <t>FALTA MATERIA PRIMA</t>
  </si>
  <si>
    <t>CHICKENCORP</t>
  </si>
  <si>
    <t>MECANICO</t>
  </si>
  <si>
    <t>LACERACIONES/HEMATOMAS</t>
  </si>
  <si>
    <t>20/062026</t>
  </si>
  <si>
    <t>RABOS FRACTURADOS</t>
  </si>
  <si>
    <t>RABOS/COLUMNAS FRACTURADAS</t>
  </si>
  <si>
    <t>GANADERIA OVIA</t>
  </si>
  <si>
    <t>COLUMNAS FRACTURADAS</t>
  </si>
  <si>
    <t>RABOS Y COLUMNAS FRACTURADAS</t>
  </si>
  <si>
    <t>22151.10</t>
  </si>
  <si>
    <t>18032.65</t>
  </si>
  <si>
    <t>13768.00</t>
  </si>
  <si>
    <t>10471.20</t>
  </si>
  <si>
    <t>19945.80</t>
  </si>
  <si>
    <t>16296.80</t>
  </si>
  <si>
    <t>23389.30</t>
  </si>
  <si>
    <t>19053.15</t>
  </si>
  <si>
    <t>26925.70</t>
  </si>
  <si>
    <t>21620.65</t>
  </si>
  <si>
    <t>3046.60</t>
  </si>
  <si>
    <t>2309.35</t>
  </si>
  <si>
    <t>12589.60</t>
  </si>
  <si>
    <t>9326.25</t>
  </si>
  <si>
    <t>20916.55</t>
  </si>
  <si>
    <t>16779.90</t>
  </si>
  <si>
    <t>6660.35</t>
  </si>
  <si>
    <t>4994.30</t>
  </si>
  <si>
    <t>13069.05</t>
  </si>
  <si>
    <t>10653.95</t>
  </si>
  <si>
    <t>LIMPIEZA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</si>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</sst>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87">
    <xf numFmtId="0" fontId="0" fillId="0" borderId="0" xfId="0"/>
    <xf numFmtId="0" fontId="4" fillId="0" borderId="1" xfId="0" applyFont="1" applyBorder="1"/>
    <xf numFmtId="0" fontId="2" fillId="0" borderId="1" xfId="2" applyBorder="1"/>
    <xf numFmtId="14" fontId="2" fillId="0" borderId="1" xfId="2" applyNumberFormat="1" applyBorder="1"/>
    <xf numFmtId="0" fontId="5" fillId="0" borderId="1" xfId="0" applyFont="1" applyBorder="1"/>
    <xf numFmtId="0" fontId="5" fillId="4" borderId="2" xfId="0" applyFont="1" applyFill="1" applyBorder="1"/>
    <xf numFmtId="0" fontId="4" fillId="5" borderId="1" xfId="0" applyFont="1" applyFill="1" applyBorder="1"/>
    <xf numFmtId="10" fontId="5" fillId="0" borderId="1" xfId="1" applyNumberFormat="1" applyFont="1" applyBorder="1"/>
    <xf numFmtId="2" fontId="2" fillId="0" borderId="1" xfId="2" applyNumberFormat="1" applyBorder="1"/>
    <xf numFmtId="10" fontId="2" fillId="0" borderId="1" xfId="1" applyNumberFormat="1" applyFont="1" applyBorder="1"/>
    <xf numFmtId="1" fontId="2" fillId="0" borderId="1" xfId="2" applyNumberFormat="1" applyBorder="1"/>
    <xf numFmtId="164" fontId="2" fillId="4" borderId="1" xfId="2" applyNumberFormat="1" applyFill="1" applyBorder="1" applyAlignment="1">
      <alignment horizontal="right"/>
    </xf>
    <xf numFmtId="0" fontId="2" fillId="4" borderId="1" xfId="2" applyFill="1" applyBorder="1"/>
    <xf numFmtId="0" fontId="2" fillId="0" borderId="6" xfId="2" applyBorder="1"/>
    <xf numFmtId="0" fontId="2" fillId="0" borderId="5" xfId="2" applyBorder="1"/>
    <xf numFmtId="0" fontId="0" fillId="4" borderId="0" xfId="0" applyFill="1"/>
    <xf numFmtId="0" fontId="5" fillId="4" borderId="1" xfId="0" applyFont="1" applyFill="1" applyBorder="1"/>
    <xf numFmtId="0" fontId="4" fillId="0" borderId="3" xfId="0" applyFont="1" applyBorder="1"/>
    <xf numFmtId="0" fontId="4" fillId="5" borderId="3" xfId="0" applyFont="1" applyFill="1" applyBorder="1"/>
    <xf numFmtId="0" fontId="5" fillId="0" borderId="3" xfId="0" applyFont="1" applyBorder="1"/>
    <xf numFmtId="0" fontId="5" fillId="4" borderId="4" xfId="0" applyFont="1" applyFill="1" applyBorder="1"/>
    <xf numFmtId="20" fontId="2" fillId="4" borderId="1" xfId="2" applyNumberFormat="1" applyFill="1" applyBorder="1"/>
    <xf numFmtId="0" fontId="0" fillId="4" borderId="1" xfId="0" applyFill="1" applyBorder="1"/>
    <xf numFmtId="20" fontId="0" fillId="4" borderId="1" xfId="0" applyNumberFormat="1" applyFill="1" applyBorder="1"/>
    <xf numFmtId="14" fontId="0" fillId="4" borderId="1" xfId="0" applyNumberFormat="1" applyFill="1" applyBorder="1"/>
    <xf numFmtId="0" fontId="4" fillId="6" borderId="1" xfId="0" applyFont="1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7" fillId="10" borderId="1" xfId="0" applyFont="1" applyFill="1" applyBorder="1"/>
    <xf numFmtId="14" fontId="7" fillId="10" borderId="1" xfId="0" applyNumberFormat="1" applyFont="1" applyFill="1" applyBorder="1"/>
    <xf numFmtId="0" fontId="4" fillId="10" borderId="2" xfId="0" applyFont="1" applyFill="1" applyBorder="1"/>
    <xf numFmtId="0" fontId="4" fillId="10" borderId="1" xfId="0" applyFont="1" applyFill="1" applyBorder="1"/>
    <xf numFmtId="20" fontId="7" fillId="10" borderId="1" xfId="0" applyNumberFormat="1" applyFont="1" applyFill="1" applyBorder="1"/>
    <xf numFmtId="0" fontId="2" fillId="0" borderId="1" xfId="0" applyFont="1" applyBorder="1"/>
    <xf numFmtId="0" fontId="2" fillId="10" borderId="1" xfId="0" applyFont="1" applyFill="1" applyBorder="1"/>
    <xf numFmtId="0" fontId="7" fillId="10" borderId="0" xfId="0" applyFont="1" applyFill="1"/>
    <xf numFmtId="20" fontId="2" fillId="10" borderId="1" xfId="0" applyNumberFormat="1" applyFont="1" applyFill="1" applyBorder="1"/>
    <xf numFmtId="0" fontId="7" fillId="10" borderId="1" xfId="0" applyFont="1" applyFill="1" applyBorder="1" applyAlignment="1">
      <alignment horizontal="right"/>
    </xf>
    <xf numFmtId="0" fontId="7" fillId="10" borderId="3" xfId="0" applyFont="1" applyFill="1" applyBorder="1"/>
    <xf numFmtId="14" fontId="7" fillId="10" borderId="3" xfId="0" applyNumberFormat="1" applyFont="1" applyFill="1" applyBorder="1"/>
    <xf numFmtId="0" fontId="4" fillId="10" borderId="4" xfId="0" applyFont="1" applyFill="1" applyBorder="1"/>
    <xf numFmtId="10" fontId="5" fillId="0" borderId="3" xfId="1" applyNumberFormat="1" applyFont="1" applyBorder="1"/>
    <xf numFmtId="0" fontId="0" fillId="4" borderId="3" xfId="0" applyFill="1" applyBorder="1"/>
    <xf numFmtId="20" fontId="7" fillId="10" borderId="3" xfId="0" applyNumberFormat="1" applyFont="1" applyFill="1" applyBorder="1"/>
    <xf numFmtId="0" fontId="2" fillId="10" borderId="3" xfId="0" applyFont="1" applyFill="1" applyBorder="1"/>
    <xf numFmtId="0" fontId="2" fillId="0" borderId="3" xfId="0" applyFont="1" applyBorder="1"/>
    <xf numFmtId="0" fontId="2" fillId="0" borderId="3" xfId="2" applyBorder="1"/>
    <xf numFmtId="2" fontId="2" fillId="0" borderId="3" xfId="2" applyNumberFormat="1" applyBorder="1"/>
    <xf numFmtId="1" fontId="2" fillId="0" borderId="3" xfId="2" applyNumberFormat="1" applyBorder="1"/>
    <xf numFmtId="10" fontId="2" fillId="0" borderId="3" xfId="1" applyNumberFormat="1" applyFont="1" applyBorder="1"/>
    <xf numFmtId="0" fontId="0" fillId="4" borderId="1" xfId="0" applyFill="1" applyBorder="1" applyAlignment="1">
      <alignment horizontal="right"/>
    </xf>
    <xf numFmtId="2" fontId="0" fillId="4" borderId="1" xfId="0" applyNumberFormat="1" applyFill="1" applyBorder="1" applyAlignment="1">
      <alignment horizontal="right"/>
    </xf>
    <xf numFmtId="0" fontId="0" fillId="4" borderId="2" xfId="0" applyFill="1" applyBorder="1"/>
    <xf numFmtId="14" fontId="0" fillId="4" borderId="2" xfId="0" applyNumberFormat="1" applyFill="1" applyBorder="1"/>
    <xf numFmtId="20" fontId="0" fillId="4" borderId="2" xfId="0" applyNumberFormat="1" applyFill="1" applyBorder="1"/>
    <xf numFmtId="0" fontId="0" fillId="4" borderId="2" xfId="0" applyFill="1" applyBorder="1" applyAlignment="1">
      <alignment horizontal="right"/>
    </xf>
    <xf numFmtId="14" fontId="0" fillId="4" borderId="1" xfId="0" applyNumberFormat="1" applyFill="1" applyBorder="1" applyAlignment="1">
      <alignment horizontal="right"/>
    </xf>
    <xf numFmtId="0" fontId="0" fillId="4" borderId="4" xfId="0" applyFill="1" applyBorder="1"/>
    <xf numFmtId="14" fontId="0" fillId="4" borderId="4" xfId="0" applyNumberFormat="1" applyFill="1" applyBorder="1"/>
    <xf numFmtId="20" fontId="0" fillId="4" borderId="4" xfId="0" applyNumberFormat="1" applyFill="1" applyBorder="1"/>
    <xf numFmtId="0" fontId="0" fillId="4" borderId="4" xfId="0" applyFill="1" applyBorder="1" applyAlignment="1">
      <alignment horizontal="right"/>
    </xf>
    <xf numFmtId="0" fontId="0" fillId="4" borderId="7" xfId="0" applyFill="1" applyBorder="1"/>
    <xf numFmtId="0" fontId="0" fillId="4" borderId="8" xfId="0" applyFill="1" applyBorder="1"/>
    <xf numFmtId="14" fontId="0" fillId="4" borderId="3" xfId="0" applyNumberFormat="1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4" fillId="0" borderId="2" xfId="0" applyFont="1" applyBorder="1"/>
    <xf numFmtId="0" fontId="4" fillId="10" borderId="3" xfId="0" applyFont="1" applyFill="1" applyBorder="1"/>
    <xf numFmtId="10" fontId="2" fillId="0" borderId="6" xfId="1" applyNumberFormat="1" applyFont="1" applyBorder="1"/>
    <xf numFmtId="10" fontId="2" fillId="0" borderId="13" xfId="1" applyNumberFormat="1" applyFont="1" applyBorder="1"/>
    <xf numFmtId="0" fontId="3" fillId="2" borderId="11" xfId="2" applyFont="1" applyFill="1" applyBorder="1" applyAlignment="1">
      <alignment horizontal="center" vertical="center" wrapText="1"/>
    </xf>
    <xf numFmtId="0" fontId="3" fillId="2" borderId="11" xfId="2" applyFont="1" applyFill="1" applyBorder="1" applyAlignment="1">
      <alignment horizontal="center" vertical="center"/>
    </xf>
    <xf numFmtId="0" fontId="3" fillId="4" borderId="11" xfId="2" applyFont="1" applyFill="1" applyBorder="1" applyAlignment="1">
      <alignment horizontal="center" vertical="center" wrapText="1"/>
    </xf>
    <xf numFmtId="0" fontId="3" fillId="8" borderId="11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3" fillId="9" borderId="11" xfId="2" applyFont="1" applyFill="1" applyBorder="1" applyAlignment="1">
      <alignment horizontal="center" vertical="center" wrapText="1"/>
    </xf>
    <xf numFmtId="0" fontId="3" fillId="3" borderId="11" xfId="2" applyFont="1" applyFill="1" applyBorder="1" applyAlignment="1">
      <alignment horizontal="center" vertical="center" wrapText="1"/>
    </xf>
    <xf numFmtId="0" fontId="3" fillId="7" borderId="11" xfId="2" applyFont="1" applyFill="1" applyBorder="1" applyAlignment="1">
      <alignment horizontal="center" vertical="center" wrapText="1"/>
    </xf>
    <xf numFmtId="0" fontId="3" fillId="6" borderId="14" xfId="2" applyFont="1" applyFill="1" applyBorder="1" applyAlignment="1">
      <alignment horizontal="center" vertical="center" wrapText="1"/>
    </xf>
    <xf numFmtId="14" fontId="0" fillId="4" borderId="11" xfId="0" applyNumberFormat="1" applyFill="1" applyBorder="1"/>
    <xf numFmtId="20" fontId="0" fillId="4" borderId="11" xfId="0" applyNumberFormat="1" applyFill="1" applyBorder="1"/>
    <xf numFmtId="0" fontId="2" fillId="0" borderId="12" xfId="2" applyBorder="1"/>
    <xf numFmtId="2" fontId="2" fillId="0" borderId="12" xfId="2" applyNumberFormat="1" applyBorder="1"/>
    <xf numFmtId="1" fontId="2" fillId="0" borderId="12" xfId="2" applyNumberFormat="1" applyBorder="1"/>
    <xf numFmtId="10" fontId="2" fillId="0" borderId="12" xfId="1" applyNumberFormat="1" applyFont="1" applyBorder="1"/>
  </cellXfs>
  <cellStyles count="3">
    <cellStyle name="Normal" xfId="0" builtinId="0"/>
    <cellStyle name="Normal 10" xfId="2" xr:uid="{A6123C5F-28D6-40C9-A0BD-3885082AA1AA}"/>
    <cellStyle name="Porcentaje" xfId="1" builtinId="5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h:mm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5D5D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lison Jaramillo" id="{66E99F32-FE04-434A-B800-5589D18D3707}" userId="S::ajaramillo@corpfernandez.com::83b7c110-ea03-45d7-9819-94f9846a32c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FC4BE1-DFEC-46E5-B543-0B0B5FAD7971}" name="Tabla1" displayName="Tabla1" ref="A1:AH310" totalsRowShown="0" tableBorderDxfId="34">
  <autoFilter ref="A1:AH310" xr:uid="{A0FC4BE1-DFEC-46E5-B543-0B0B5FAD7971}"/>
  <tableColumns count="34">
    <tableColumn id="1" xr3:uid="{CA36BBE2-0B8C-4552-9811-D57AC96FA32F}" name="SEMANA" dataDxfId="33"/>
    <tableColumn id="2" xr3:uid="{EB24A165-BA7F-4E47-8F07-D920A78147DC}" name="FECHA DE PROCESO" dataDxfId="32"/>
    <tableColumn id="3" xr3:uid="{D7BEB62E-26B8-4FFF-909A-2BA372075424}" name="CODIGO" dataDxfId="31"/>
    <tableColumn id="4" xr3:uid="{550B9E6D-7853-482B-883C-86ABE140B248}" name="EAN" dataDxfId="30"/>
    <tableColumn id="5" xr3:uid="{D123296B-32A2-44C5-87C5-DF00068A43C8}" name="LÍNEA PRODUCCION" dataDxfId="29"/>
    <tableColumn id="6" xr3:uid="{7A955DE4-A029-4180-9DCB-93F054289973}" name="DESCRIPCIÓN_x000a_ARTÍCULO" dataDxfId="28"/>
    <tableColumn id="7" xr3:uid="{2E1F08DD-B8C0-4CC3-A02F-5D21C5933CC9}" name="KILOGRAMOS EN PIE" dataDxfId="27"/>
    <tableColumn id="8" xr3:uid="{13734AA3-43C6-4461-B2AC-5DECE72CECE0}" name="KILOGRAMOS PROCESADOS" dataDxfId="26"/>
    <tableColumn id="9" xr3:uid="{A2C8548D-F708-4940-9C27-D2A7304B3E15}" name="CANTIDAD DE CERDOS" dataDxfId="25"/>
    <tableColumn id="10" xr3:uid="{8F436A8C-2A67-40B6-B71D-6BC3E2371AC3}" name="UNIDADES CON DEFECTOS PROCESO" dataDxfId="24"/>
    <tableColumn id="11" xr3:uid="{109CDCE5-F5D0-4620-843E-0C06C0CA43D1}" name="DEFECTOS PROCESO" dataDxfId="23"/>
    <tableColumn id="12" xr3:uid="{32F2069A-8319-4357-8C24-C07BDCB91DD3}" name="UNIDADES CON DEFECTOS GRANJA" dataDxfId="22"/>
    <tableColumn id="13" xr3:uid="{719DAD8F-53BC-4A62-B12C-A8741A960DD3}" name="DEFECTOS GRANJA" dataDxfId="21"/>
    <tableColumn id="14" xr3:uid="{F9481E09-D23D-4ED1-848C-04AEBBE1EA14}" name="ESTÁNDAR" dataDxfId="20">
      <calculatedColumnFormula array="1">_xlfn.IFS(E2="MOLINOS CHAMPION S.F",42,E2="PROPALCOL",42,E2="MASTERTEC",42,E2="GANADERIA OVIA",42,E2="ENGORDE",40,E2="DESCARTES",40,E2="REPRODUCTORA",10,E2="BAJO PESO",40,E2="CHICKENCORP",42)</calculatedColumnFormula>
    </tableColumn>
    <tableColumn id="15" xr3:uid="{318961A9-4E6B-4B07-B036-C2004C06DEC5}" name="RENDIMIENTO DE LÍNEA" dataDxfId="19" dataCellStyle="Porcentaje">
      <calculatedColumnFormula>IFERROR(H2/G2," ")</calculatedColumnFormula>
    </tableColumn>
    <tableColumn id="16" xr3:uid="{8A6E13AD-4076-4F72-8F9A-159C97930167}" name="PESO PROMEDIO EN PIE" dataDxfId="18">
      <calculatedColumnFormula>IFERROR(G2/I2," ")</calculatedColumnFormula>
    </tableColumn>
    <tableColumn id="17" xr3:uid="{7D2D12C5-D79A-4D0C-81AB-83F0B58895E9}" name="PESO PROMEDIO PROCESADO" dataDxfId="17">
      <calculatedColumnFormula>IFERROR(H2/I2," ")</calculatedColumnFormula>
    </tableColumn>
    <tableColumn id="18" xr3:uid="{7000C4A5-ECB1-460E-9BAE-243CD392587B}" name="%CALIDAD" dataDxfId="16">
      <calculatedColumnFormula>IF(I2=0,0,(I2-J2)/I2)</calculatedColumnFormula>
    </tableColumn>
    <tableColumn id="19" xr3:uid="{DA079452-D375-4BBA-A3E4-5BBBE2B1E85D}" name="CANTIDAD DE PERSONAL" dataDxfId="15"/>
    <tableColumn id="20" xr3:uid="{65343089-AEE7-4FC4-8768-8540F94D66D3}" name="HORA DE INICIO" dataDxfId="14"/>
    <tableColumn id="21" xr3:uid="{450F82B7-91B5-4426-9E1A-F8CFF66D7621}" name="HORA DE FIN" dataDxfId="13"/>
    <tableColumn id="22" xr3:uid="{A56BF239-B922-42D4-B40C-C92BC124EB22}" name="HORA DE INICIO PARA" dataDxfId="12"/>
    <tableColumn id="23" xr3:uid="{B1D0D8DA-AEDD-4EC8-A75E-5E35AD49FCE3}" name="HORA DE FIN PARA" dataDxfId="11"/>
    <tableColumn id="24" xr3:uid="{9ED030D7-8C07-4321-8214-7AF1B17822DB}" name="MOTIVOS DE PARADAS" dataDxfId="10"/>
    <tableColumn id="25" xr3:uid="{C3E87286-0DDE-4312-B301-66B0990065AC}" name="HORAS DE PARAS NO PLANIFICADAS" dataDxfId="9"/>
    <tableColumn id="26" xr3:uid="{E3C9286D-BAC1-4201-AEC7-7CD5E0D44334}" name="HORAS DE PARAS PLANIFICADAS" dataDxfId="8"/>
    <tableColumn id="27" xr3:uid="{DE2CD1CF-4616-4532-9A7A-5868F6BE3F8D}" name="HORAS PROGRAMADAS" dataDxfId="7" dataCellStyle="Normal 10">
      <calculatedColumnFormula>I2/N2</calculatedColumnFormula>
    </tableColumn>
    <tableColumn id="28" xr3:uid="{14D30D67-CE24-439C-8E54-231A01A6DE6C}" name="HORAS PRODUCTIVAS" dataDxfId="6" dataCellStyle="Normal 10">
      <calculatedColumnFormula>(HOUR(U2-T2)+MINUTE(U2-T2)/60)-Z2-Y2</calculatedColumnFormula>
    </tableColumn>
    <tableColumn id="29" xr3:uid="{3C9FCCF6-69FD-4070-92B4-FD986056DC5F}" name="VARIACIÓN DE HORAS EN PRODUCCIÓN" dataDxfId="5" dataCellStyle="Normal 10">
      <calculatedColumnFormula>IF(AB2&gt;AA2,AB2-AA2,0)</calculatedColumnFormula>
    </tableColumn>
    <tableColumn id="30" xr3:uid="{C7696EB8-D818-4A18-AEBD-8AAB7392CE68}" name="UNIDADES/HORA" dataDxfId="4" dataCellStyle="Normal 10">
      <calculatedColumnFormula>I2/AB2</calculatedColumnFormula>
    </tableColumn>
    <tableColumn id="31" xr3:uid="{111F8667-8272-4AF0-8472-690E5E87AEA1}" name="KILOS/HORA/HOMBRE" dataDxfId="3" dataCellStyle="Normal 10">
      <calculatedColumnFormula>ROUND(H2/AB2/S2,2)</calculatedColumnFormula>
    </tableColumn>
    <tableColumn id="32" xr3:uid="{E0ED9722-904A-4E08-967D-ED7A2F3548FE}" name="%DISPONIBILIDAD" dataDxfId="2" dataCellStyle="Porcentaje">
      <calculatedColumnFormula>IF(AA2-AC2-Y2&lt;0,0,(AA2-AC2-Y2)/AA2)</calculatedColumnFormula>
    </tableColumn>
    <tableColumn id="33" xr3:uid="{F8F4E07E-A14A-423B-9EFC-9A3E25AE8326}" name="%RENDIMIENTO" dataDxfId="1" dataCellStyle="Porcentaje">
      <calculatedColumnFormula>IFERROR(MIN(AD2/N2,1),0)</calculatedColumnFormula>
    </tableColumn>
    <tableColumn id="34" xr3:uid="{35C25D76-1E8A-4131-A624-F8B6DCBFB3B5}" name="OEE" dataDxfId="0" dataCellStyle="Porcentaje">
      <calculatedColumnFormula>R2*AF2*AG2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2-05T04:11:22.96" personId="{66E99F32-FE04-434A-B800-5589D18D3707}" id="{BCA7A140-B6D2-46B9-A95C-5FA02F7D2CF2}">
    <text>Unidades = Cantidad de cerdos</text>
  </threadedComment>
  <threadedComment ref="K1" dT="2026-07-01T18:54:21.57" personId="{66E99F32-FE04-434A-B800-5589D18D3707}" id="{AF36CC1F-CFD9-4CF4-936D-8ABFF20716C6}">
    <text>Ejemplos: Rabos reventados, columnas fracturadas, etc.</text>
  </threadedComment>
  <threadedComment ref="M1" dT="2026-07-02T15:36:57.40" personId="{66E99F32-FE04-434A-B800-5589D18D3707}" id="{0368B062-BDE1-4DC1-BF63-98D1A5772ABB}">
    <text>Ejemplo: Rasguños, dermatitis, laceraciones, etc.</text>
  </threadedComment>
  <threadedComment ref="N1" dT="2026-02-05T06:21:51.16" personId="{66E99F32-FE04-434A-B800-5589D18D3707}" id="{F7F5D9E7-7D5A-498F-B671-D2F65028D523}">
    <text>Se debe modificar en caso que cambie tendencias.</text>
  </threadedComment>
  <threadedComment ref="O1" dT="2026-02-05T04:27:20.27" personId="{66E99F32-FE04-434A-B800-5589D18D3707}" id="{AB3DC116-6E39-487F-9051-547E560355CC}">
    <text>Representa qué proporción del peso vivo se convierte en producto útil después del proceso.</text>
  </threadedComment>
  <threadedComment ref="R1" dT="2026-02-05T04:28:57.43" personId="{66E99F32-FE04-434A-B800-5589D18D3707}" id="{BAD76588-1460-4680-9242-BA245C99F31C}">
    <text xml:space="preserve">Proporción de unidades buenas (sin defectos) respecto al total producido </text>
  </threadedComment>
  <threadedComment ref="V1" dT="2026-02-05T05:29:49.16" personId="{66E99F32-FE04-434A-B800-5589D18D3707}" id="{64D4B0BE-3F53-450E-A2B3-E3EA34447B74}">
    <text>Paras no planificadas.</text>
  </threadedComment>
  <threadedComment ref="W1" dT="2026-02-05T05:29:54.92" personId="{66E99F32-FE04-434A-B800-5589D18D3707}" id="{C27D89EE-3342-4F6B-AE01-1D234FE9E71E}">
    <text>Paras no planificadas.</text>
  </threadedComment>
  <threadedComment ref="Y1" dT="2026-02-05T06:23:06.57" personId="{66E99F32-FE04-434A-B800-5589D18D3707}" id="{F85E036B-B821-47E4-813E-473E35C249DB}">
    <text>No planificado.</text>
  </threadedComment>
  <threadedComment ref="Z1" dT="2026-02-05T06:23:06.57" personId="{66E99F32-FE04-434A-B800-5589D18D3707}" id="{538517D3-591F-41DB-A619-5D949A1EFA19}">
    <text>Paras programadas: Almuerzo.</text>
  </threadedComment>
  <threadedComment ref="AF1" dT="2026-02-05T05:00:52.71" personId="{66E99F32-FE04-434A-B800-5589D18D3707}" id="{9F706A33-9A08-4A13-BC94-5ECF18BCCF8E}">
    <text xml:space="preserve">Representa el tiempo durante el cual el equipo opera de manera efectiva dentro del intervalo total programado para la producción.  </text>
  </threadedComment>
  <threadedComment ref="AG1" dT="2026-02-05T05:08:21.11" personId="{66E99F32-FE04-434A-B800-5589D18D3707}" id="{7A96143D-D3CB-4FA5-8B10-AD7DAD724AD4}">
    <text>Ratio que expresa la comparativa entre el tiempo de ciclo ideal y el tiempo de ciclo real.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4663-644E-43E4-9C19-00B896DAC658}">
  <sheetPr>
    <tabColor theme="4" tint="0.59999389629810485"/>
  </sheetPr>
  <dimension ref="A1:AI312"/>
  <sheetViews>
    <sheetView tabSelected="1" zoomScale="70" zoomScaleNormal="70" workbookViewId="0">
      <pane ySplit="1" topLeftCell="A2" activePane="bottomLeft" state="frozen"/>
      <selection pane="bottomLeft" activeCell="E9" sqref="E9"/>
    </sheetView>
  </sheetViews>
  <sheetFormatPr baseColWidth="10" defaultColWidth="11.42578125" defaultRowHeight="15" x14ac:dyDescent="0.25"/>
  <cols>
    <col min="1" max="1" width="13.28515625" style="15" customWidth="1"/>
    <col min="2" max="2" width="26.5703125" style="15" customWidth="1"/>
    <col min="3" max="3" width="13.42578125" style="15" customWidth="1"/>
    <col min="4" max="4" width="11.42578125" style="15"/>
    <col min="5" max="5" width="26.85546875" style="15" customWidth="1"/>
    <col min="6" max="6" width="50.42578125" style="15" customWidth="1"/>
    <col min="7" max="7" width="26.28515625" style="15" customWidth="1"/>
    <col min="8" max="8" width="34.7109375" style="15" customWidth="1"/>
    <col min="9" max="9" width="29" style="15" customWidth="1"/>
    <col min="10" max="10" width="44.7109375" style="15" customWidth="1"/>
    <col min="11" max="11" width="35.7109375" style="15" customWidth="1"/>
    <col min="12" max="12" width="43" style="15" customWidth="1"/>
    <col min="13" max="13" width="25.5703125" style="15" customWidth="1"/>
    <col min="14" max="14" width="17.28515625" style="15" customWidth="1"/>
    <col min="15" max="15" width="30.140625" style="15" customWidth="1"/>
    <col min="16" max="16" width="30.42578125" style="15" customWidth="1"/>
    <col min="17" max="17" width="37.28515625" style="15" customWidth="1"/>
    <col min="18" max="18" width="18" style="15" customWidth="1"/>
    <col min="19" max="19" width="31.85546875" style="15" customWidth="1"/>
    <col min="20" max="20" width="21" style="15" customWidth="1"/>
    <col min="21" max="21" width="18" style="15" customWidth="1"/>
    <col min="22" max="22" width="28.140625" style="15" customWidth="1"/>
    <col min="23" max="23" width="25.140625" style="15" customWidth="1"/>
    <col min="24" max="24" width="29.140625" style="15" customWidth="1"/>
    <col min="25" max="25" width="44.85546875" style="15" customWidth="1"/>
    <col min="26" max="26" width="41" style="15" customWidth="1"/>
    <col min="27" max="27" width="30.140625" style="15" customWidth="1"/>
    <col min="28" max="28" width="28.140625" style="15" customWidth="1"/>
    <col min="29" max="29" width="47.5703125" style="15" customWidth="1"/>
    <col min="30" max="30" width="22.28515625" style="15" customWidth="1"/>
    <col min="31" max="31" width="28" style="15" customWidth="1"/>
    <col min="32" max="33" width="26.5703125" style="15" customWidth="1"/>
    <col min="34" max="34" width="17.85546875" style="15" customWidth="1"/>
    <col min="35" max="16384" width="11.42578125" style="15"/>
  </cols>
  <sheetData>
    <row r="1" spans="1:34" customFormat="1" ht="29.45" customHeight="1" x14ac:dyDescent="0.25">
      <c r="A1" s="72" t="s">
        <v>0</v>
      </c>
      <c r="B1" s="72" t="s">
        <v>1</v>
      </c>
      <c r="C1" s="73" t="s">
        <v>2</v>
      </c>
      <c r="D1" s="73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4" t="s">
        <v>13</v>
      </c>
      <c r="O1" s="74" t="s">
        <v>14</v>
      </c>
      <c r="P1" s="74" t="s">
        <v>15</v>
      </c>
      <c r="Q1" s="74" t="s">
        <v>16</v>
      </c>
      <c r="R1" s="75" t="s">
        <v>17</v>
      </c>
      <c r="S1" s="72" t="s">
        <v>18</v>
      </c>
      <c r="T1" s="72" t="s">
        <v>19</v>
      </c>
      <c r="U1" s="72" t="s">
        <v>20</v>
      </c>
      <c r="V1" s="76" t="s">
        <v>21</v>
      </c>
      <c r="W1" s="72" t="s">
        <v>22</v>
      </c>
      <c r="X1" s="77" t="s">
        <v>23</v>
      </c>
      <c r="Y1" s="74" t="s">
        <v>24</v>
      </c>
      <c r="Z1" s="77" t="s">
        <v>25</v>
      </c>
      <c r="AA1" s="74" t="s">
        <v>26</v>
      </c>
      <c r="AB1" s="74" t="s">
        <v>27</v>
      </c>
      <c r="AC1" s="74" t="s">
        <v>28</v>
      </c>
      <c r="AD1" s="74" t="s">
        <v>29</v>
      </c>
      <c r="AE1" s="74" t="s">
        <v>30</v>
      </c>
      <c r="AF1" s="78" t="s">
        <v>31</v>
      </c>
      <c r="AG1" s="79" t="s">
        <v>32</v>
      </c>
      <c r="AH1" s="80" t="s">
        <v>33</v>
      </c>
    </row>
    <row r="2" spans="1:34" customFormat="1" ht="16.149999999999999" customHeight="1" x14ac:dyDescent="0.25">
      <c r="A2" s="2">
        <v>5</v>
      </c>
      <c r="B2" s="3">
        <v>46048</v>
      </c>
      <c r="C2" s="1" t="s">
        <v>34</v>
      </c>
      <c r="D2" s="1">
        <v>5470</v>
      </c>
      <c r="E2" s="4" t="s">
        <v>35</v>
      </c>
      <c r="F2" s="5" t="s">
        <v>36</v>
      </c>
      <c r="G2" s="4">
        <v>6235.4</v>
      </c>
      <c r="H2" s="4">
        <v>4670.5200000000004</v>
      </c>
      <c r="I2" s="4">
        <v>60</v>
      </c>
      <c r="J2" s="4">
        <v>10</v>
      </c>
      <c r="K2" s="4"/>
      <c r="L2" s="4"/>
      <c r="M2" s="4"/>
      <c r="N2" s="4" cm="1">
        <f t="array" ref="N2">_xlfn.IFS(E2="MOLINOS CHAMPION S.F",42,E2="PROPALCOL",42,E2="MASTERTEC",42,E2="GANADERIA OVIA",42,E2="ENGORDE",40,E2="DESCARTES",40,E2="REPRODUCTORA",10,E2="BAJO PESO",40,E2="CHICKENCORP",42)</f>
        <v>42</v>
      </c>
      <c r="O2" s="7">
        <f t="shared" ref="O2:O65" si="0">IFERROR(H2/G2," ")</f>
        <v>0.74903294095005946</v>
      </c>
      <c r="P2" s="4">
        <f t="shared" ref="P2:P65" si="1">IFERROR(G2/I2," ")</f>
        <v>103.92333333333333</v>
      </c>
      <c r="Q2" s="4">
        <f t="shared" ref="Q2:Q65" si="2">IFERROR(H2/I2," ")</f>
        <v>77.842000000000013</v>
      </c>
      <c r="R2" s="7">
        <f t="shared" ref="R2:R65" si="3">IF(I2=0,0,(I2-J2)/I2)</f>
        <v>0.83333333333333337</v>
      </c>
      <c r="S2" s="13">
        <v>34</v>
      </c>
      <c r="T2" s="11">
        <v>0.30555555555555558</v>
      </c>
      <c r="U2" s="11">
        <v>0.39097222222222222</v>
      </c>
      <c r="V2" s="12"/>
      <c r="W2" s="12"/>
      <c r="X2" s="14"/>
      <c r="Y2" s="2">
        <f t="shared" ref="Y2:Y65" si="4">(HOUR(W2-V2)+MINUTE(W2-V2)/60)</f>
        <v>0</v>
      </c>
      <c r="Z2" s="2"/>
      <c r="AA2" s="2">
        <f t="shared" ref="AA2:AA65" si="5">I2/N2</f>
        <v>1.4285714285714286</v>
      </c>
      <c r="AB2" s="8">
        <f t="shared" ref="AB2:AB33" si="6">(HOUR(U2-T2)+MINUTE(U2-T2)/60)-Z2-Y2</f>
        <v>2.0499999999999998</v>
      </c>
      <c r="AC2" s="8">
        <f t="shared" ref="AC2:AC65" si="7">IF(AB2&gt;AA2,AB2-AA2,0)</f>
        <v>0.62142857142857122</v>
      </c>
      <c r="AD2" s="10">
        <f t="shared" ref="AD2:AD65" si="8">I2/AB2</f>
        <v>29.26829268292683</v>
      </c>
      <c r="AE2" s="2">
        <f t="shared" ref="AE2:AE65" si="9">ROUND(H2/AB2/S2,2)</f>
        <v>67.010000000000005</v>
      </c>
      <c r="AF2" s="9">
        <f t="shared" ref="AF2:AF65" si="10">IF(AA2-AC2&lt;0,0,(AA2-AC2)/AA2)</f>
        <v>0.56500000000000017</v>
      </c>
      <c r="AG2" s="9">
        <f t="shared" ref="AG2:AG65" si="11">IFERROR(MIN(AD2/N2,1),0)</f>
        <v>0.69686411149825789</v>
      </c>
      <c r="AH2" s="70">
        <f t="shared" ref="AH2:AH65" si="12">R2*AF2*AG2</f>
        <v>0.32810685249709653</v>
      </c>
    </row>
    <row r="3" spans="1:34" customFormat="1" ht="16.149999999999999" customHeight="1" x14ac:dyDescent="0.25">
      <c r="A3" s="2">
        <v>5</v>
      </c>
      <c r="B3" s="3">
        <v>46048</v>
      </c>
      <c r="C3" s="1" t="s">
        <v>34</v>
      </c>
      <c r="D3" s="1">
        <v>274</v>
      </c>
      <c r="E3" s="4" t="s">
        <v>37</v>
      </c>
      <c r="F3" s="5" t="s">
        <v>36</v>
      </c>
      <c r="G3" s="4">
        <v>16538.2</v>
      </c>
      <c r="H3" s="4">
        <v>13411.8</v>
      </c>
      <c r="I3" s="4">
        <v>142</v>
      </c>
      <c r="J3" s="4">
        <v>15</v>
      </c>
      <c r="K3" s="4"/>
      <c r="L3" s="4"/>
      <c r="M3" s="4"/>
      <c r="N3" s="4" cm="1">
        <f t="array" ref="N3">_xlfn.IFS(E3="MOLINOS CHAMPION S.F",42,E3="PROPALCOL",42,E3="MASTERTEC",42,E3="GANADERIA OVIA",42,E3="ENGORDE",40,E3="DESCARTES",40,E3="REPRODUCTORA",10,E3="BAJO PESO",40,E3="CHICKENCORP",42)</f>
        <v>40</v>
      </c>
      <c r="O3" s="7">
        <f t="shared" si="0"/>
        <v>0.81095887097749442</v>
      </c>
      <c r="P3" s="4">
        <f t="shared" si="1"/>
        <v>116.4661971830986</v>
      </c>
      <c r="Q3" s="4">
        <f t="shared" si="2"/>
        <v>94.449295774647879</v>
      </c>
      <c r="R3" s="7">
        <f t="shared" si="3"/>
        <v>0.89436619718309862</v>
      </c>
      <c r="S3" s="13">
        <v>34</v>
      </c>
      <c r="T3" s="11">
        <v>0.36805555555555558</v>
      </c>
      <c r="U3" s="11">
        <v>0.51041666666666663</v>
      </c>
      <c r="V3" s="12"/>
      <c r="W3" s="12"/>
      <c r="X3" s="14"/>
      <c r="Y3" s="2">
        <f t="shared" si="4"/>
        <v>0</v>
      </c>
      <c r="Z3" s="2">
        <v>1</v>
      </c>
      <c r="AA3" s="2">
        <f t="shared" si="5"/>
        <v>3.55</v>
      </c>
      <c r="AB3" s="8">
        <f t="shared" si="6"/>
        <v>2.4166666666666665</v>
      </c>
      <c r="AC3" s="8">
        <f t="shared" si="7"/>
        <v>0</v>
      </c>
      <c r="AD3" s="10">
        <f t="shared" si="8"/>
        <v>58.758620689655174</v>
      </c>
      <c r="AE3" s="2">
        <f t="shared" si="9"/>
        <v>163.22999999999999</v>
      </c>
      <c r="AF3" s="9">
        <f t="shared" si="10"/>
        <v>1</v>
      </c>
      <c r="AG3" s="9">
        <f t="shared" si="11"/>
        <v>1</v>
      </c>
      <c r="AH3" s="70">
        <f t="shared" si="12"/>
        <v>0.89436619718309862</v>
      </c>
    </row>
    <row r="4" spans="1:34" customFormat="1" ht="16.149999999999999" customHeight="1" x14ac:dyDescent="0.25">
      <c r="A4" s="2">
        <v>5</v>
      </c>
      <c r="B4" s="3">
        <v>46048</v>
      </c>
      <c r="C4" s="1" t="s">
        <v>38</v>
      </c>
      <c r="D4" s="6"/>
      <c r="E4" s="4" t="s">
        <v>39</v>
      </c>
      <c r="F4" s="5" t="s">
        <v>36</v>
      </c>
      <c r="G4" s="4">
        <v>4108.2</v>
      </c>
      <c r="H4" s="4">
        <v>3165.1</v>
      </c>
      <c r="I4" s="4">
        <v>19</v>
      </c>
      <c r="J4" s="4">
        <v>1</v>
      </c>
      <c r="K4" s="4"/>
      <c r="L4" s="4"/>
      <c r="M4" s="4"/>
      <c r="N4" s="4" cm="1">
        <f t="array" ref="N4">_xlfn.IFS(E4="MOLINOS CHAMPION S.F",42,E4="PROPALCOL",42,E4="MASTERTEC",42,E4="GANADERIA OVIA",42,E4="ENGORDE",40,E4="DESCARTES",40,E4="REPRODUCTORA",10,E4="BAJO PESO",40,E4="CHICKENCORP",42)</f>
        <v>10</v>
      </c>
      <c r="O4" s="7">
        <f t="shared" si="0"/>
        <v>0.77043474027554648</v>
      </c>
      <c r="P4" s="4">
        <f t="shared" si="1"/>
        <v>216.22105263157894</v>
      </c>
      <c r="Q4" s="4">
        <f t="shared" si="2"/>
        <v>166.58421052631579</v>
      </c>
      <c r="R4" s="7">
        <f t="shared" si="3"/>
        <v>0.94736842105263153</v>
      </c>
      <c r="S4" s="13">
        <v>34</v>
      </c>
      <c r="T4" s="11">
        <v>0.54861111111111116</v>
      </c>
      <c r="U4" s="11">
        <v>0.62847222222222221</v>
      </c>
      <c r="V4" s="12"/>
      <c r="W4" s="12"/>
      <c r="X4" s="14"/>
      <c r="Y4" s="2">
        <f t="shared" si="4"/>
        <v>0</v>
      </c>
      <c r="Z4" s="2"/>
      <c r="AA4" s="2">
        <f t="shared" si="5"/>
        <v>1.9</v>
      </c>
      <c r="AB4" s="8">
        <f t="shared" si="6"/>
        <v>1.9166666666666665</v>
      </c>
      <c r="AC4" s="8">
        <f t="shared" si="7"/>
        <v>1.6666666666666607E-2</v>
      </c>
      <c r="AD4" s="10">
        <f t="shared" si="8"/>
        <v>9.913043478260871</v>
      </c>
      <c r="AE4" s="2">
        <f t="shared" si="9"/>
        <v>48.57</v>
      </c>
      <c r="AF4" s="9">
        <f t="shared" si="10"/>
        <v>0.99122807017543868</v>
      </c>
      <c r="AG4" s="9">
        <f t="shared" si="11"/>
        <v>0.99130434782608712</v>
      </c>
      <c r="AH4" s="70">
        <f t="shared" si="12"/>
        <v>0.93089244851258601</v>
      </c>
    </row>
    <row r="5" spans="1:34" customFormat="1" ht="16.149999999999999" customHeight="1" x14ac:dyDescent="0.25">
      <c r="A5" s="2">
        <v>5</v>
      </c>
      <c r="B5" s="3">
        <v>46049</v>
      </c>
      <c r="C5" s="1" t="s">
        <v>34</v>
      </c>
      <c r="D5" s="1">
        <v>5470</v>
      </c>
      <c r="E5" s="4" t="s">
        <v>35</v>
      </c>
      <c r="F5" s="5" t="s">
        <v>36</v>
      </c>
      <c r="G5" s="4">
        <v>5918.65</v>
      </c>
      <c r="H5" s="4">
        <v>4432.25</v>
      </c>
      <c r="I5" s="4">
        <v>60</v>
      </c>
      <c r="J5" s="4">
        <v>11</v>
      </c>
      <c r="K5" s="4"/>
      <c r="L5" s="4"/>
      <c r="M5" s="4"/>
      <c r="N5" s="4" cm="1">
        <f t="array" ref="N5">_xlfn.IFS(E5="MOLINOS CHAMPION S.F",42,E5="PROPALCOL",42,E5="MASTERTEC",42,E5="GANADERIA OVIA",42,E5="ENGORDE",40,E5="DESCARTES",40,E5="REPRODUCTORA",10,E5="BAJO PESO",40,E5="CHICKENCORP",42)</f>
        <v>42</v>
      </c>
      <c r="O5" s="7">
        <f t="shared" si="0"/>
        <v>0.74886164919365061</v>
      </c>
      <c r="P5" s="4">
        <f t="shared" si="1"/>
        <v>98.644166666666663</v>
      </c>
      <c r="Q5" s="4">
        <f t="shared" si="2"/>
        <v>73.870833333333337</v>
      </c>
      <c r="R5" s="7">
        <f t="shared" si="3"/>
        <v>0.81666666666666665</v>
      </c>
      <c r="S5" s="13">
        <v>37</v>
      </c>
      <c r="T5" s="11">
        <v>0.29166666666666669</v>
      </c>
      <c r="U5" s="11">
        <v>0.37361111111111112</v>
      </c>
      <c r="V5" s="12"/>
      <c r="W5" s="12"/>
      <c r="X5" s="14"/>
      <c r="Y5" s="2">
        <f t="shared" si="4"/>
        <v>0</v>
      </c>
      <c r="Z5" s="2"/>
      <c r="AA5" s="2">
        <f t="shared" si="5"/>
        <v>1.4285714285714286</v>
      </c>
      <c r="AB5" s="8">
        <f t="shared" si="6"/>
        <v>1.9666666666666668</v>
      </c>
      <c r="AC5" s="8">
        <f t="shared" si="7"/>
        <v>0.53809523809523818</v>
      </c>
      <c r="AD5" s="10">
        <f t="shared" si="8"/>
        <v>30.508474576271183</v>
      </c>
      <c r="AE5" s="2">
        <f t="shared" si="9"/>
        <v>60.91</v>
      </c>
      <c r="AF5" s="9">
        <f t="shared" si="10"/>
        <v>0.62333333333333329</v>
      </c>
      <c r="AG5" s="9">
        <f t="shared" si="11"/>
        <v>0.72639225181598055</v>
      </c>
      <c r="AH5" s="70">
        <f t="shared" si="12"/>
        <v>0.36977401129943493</v>
      </c>
    </row>
    <row r="6" spans="1:34" customFormat="1" ht="16.149999999999999" customHeight="1" x14ac:dyDescent="0.25">
      <c r="A6" s="2">
        <v>5</v>
      </c>
      <c r="B6" s="3">
        <v>46049</v>
      </c>
      <c r="C6" s="1" t="s">
        <v>34</v>
      </c>
      <c r="D6" s="1">
        <v>274</v>
      </c>
      <c r="E6" s="4" t="s">
        <v>37</v>
      </c>
      <c r="F6" s="5" t="s">
        <v>36</v>
      </c>
      <c r="G6" s="4">
        <v>27711.45</v>
      </c>
      <c r="H6" s="4">
        <v>22635.9</v>
      </c>
      <c r="I6" s="4">
        <v>240</v>
      </c>
      <c r="J6" s="4">
        <v>20</v>
      </c>
      <c r="K6" s="4"/>
      <c r="L6" s="4"/>
      <c r="M6" s="4"/>
      <c r="N6" s="4" cm="1">
        <f t="array" ref="N6">_xlfn.IFS(E6="MOLINOS CHAMPION S.F",42,E6="PROPALCOL",42,E6="MASTERTEC",42,E6="GANADERIA OVIA",42,E6="ENGORDE",40,E6="DESCARTES",40,E6="REPRODUCTORA",10,E6="BAJO PESO",40,E6="CHICKENCORP",42)</f>
        <v>40</v>
      </c>
      <c r="O6" s="7">
        <f t="shared" si="0"/>
        <v>0.81684285737483964</v>
      </c>
      <c r="P6" s="4">
        <f t="shared" si="1"/>
        <v>115.464375</v>
      </c>
      <c r="Q6" s="4">
        <f t="shared" si="2"/>
        <v>94.316250000000011</v>
      </c>
      <c r="R6" s="7">
        <f t="shared" si="3"/>
        <v>0.91666666666666663</v>
      </c>
      <c r="S6" s="13">
        <v>37</v>
      </c>
      <c r="T6" s="11">
        <v>0.35416666666666669</v>
      </c>
      <c r="U6" s="11">
        <v>0.61458333333333337</v>
      </c>
      <c r="V6" s="12"/>
      <c r="W6" s="12"/>
      <c r="X6" s="14"/>
      <c r="Y6" s="2">
        <f t="shared" si="4"/>
        <v>0</v>
      </c>
      <c r="Z6" s="2">
        <v>1</v>
      </c>
      <c r="AA6" s="2">
        <f t="shared" si="5"/>
        <v>6</v>
      </c>
      <c r="AB6" s="8">
        <f t="shared" si="6"/>
        <v>5.25</v>
      </c>
      <c r="AC6" s="8">
        <f t="shared" si="7"/>
        <v>0</v>
      </c>
      <c r="AD6" s="10">
        <f t="shared" si="8"/>
        <v>45.714285714285715</v>
      </c>
      <c r="AE6" s="2">
        <f t="shared" si="9"/>
        <v>116.53</v>
      </c>
      <c r="AF6" s="9">
        <f t="shared" si="10"/>
        <v>1</v>
      </c>
      <c r="AG6" s="9">
        <f t="shared" si="11"/>
        <v>1</v>
      </c>
      <c r="AH6" s="70">
        <f t="shared" si="12"/>
        <v>0.91666666666666663</v>
      </c>
    </row>
    <row r="7" spans="1:34" customFormat="1" ht="16.149999999999999" customHeight="1" x14ac:dyDescent="0.25">
      <c r="A7" s="2">
        <v>5</v>
      </c>
      <c r="B7" s="3">
        <v>46050</v>
      </c>
      <c r="C7" s="1" t="s">
        <v>34</v>
      </c>
      <c r="D7" s="1">
        <v>5470</v>
      </c>
      <c r="E7" s="4" t="s">
        <v>35</v>
      </c>
      <c r="F7" s="5" t="s">
        <v>36</v>
      </c>
      <c r="G7" s="4">
        <v>6367.2</v>
      </c>
      <c r="H7" s="4">
        <v>4916.6499999999996</v>
      </c>
      <c r="I7" s="4">
        <v>60</v>
      </c>
      <c r="J7" s="4">
        <v>13</v>
      </c>
      <c r="K7" s="4"/>
      <c r="L7" s="4"/>
      <c r="M7" s="4"/>
      <c r="N7" s="4" cm="1">
        <f t="array" ref="N7">_xlfn.IFS(E7="MOLINOS CHAMPION S.F",42,E7="PROPALCOL",42,E7="MASTERTEC",42,E7="GANADERIA OVIA",42,E7="ENGORDE",40,E7="DESCARTES",40,E7="REPRODUCTORA",10,E7="BAJO PESO",40,E7="CHICKENCORP",42)</f>
        <v>42</v>
      </c>
      <c r="O7" s="7">
        <f t="shared" si="0"/>
        <v>0.77218400552833266</v>
      </c>
      <c r="P7" s="4">
        <f t="shared" si="1"/>
        <v>106.11999999999999</v>
      </c>
      <c r="Q7" s="4">
        <f t="shared" si="2"/>
        <v>81.944166666666661</v>
      </c>
      <c r="R7" s="7">
        <f t="shared" si="3"/>
        <v>0.78333333333333333</v>
      </c>
      <c r="S7" s="13">
        <v>36</v>
      </c>
      <c r="T7" s="11">
        <v>0.29166666666666669</v>
      </c>
      <c r="U7" s="11">
        <v>0.37152777777777779</v>
      </c>
      <c r="V7" s="12"/>
      <c r="W7" s="12"/>
      <c r="X7" s="14"/>
      <c r="Y7" s="2">
        <f t="shared" si="4"/>
        <v>0</v>
      </c>
      <c r="Z7" s="2"/>
      <c r="AA7" s="2">
        <f t="shared" si="5"/>
        <v>1.4285714285714286</v>
      </c>
      <c r="AB7" s="8">
        <f t="shared" si="6"/>
        <v>1.9166666666666665</v>
      </c>
      <c r="AC7" s="8">
        <f t="shared" si="7"/>
        <v>0.48809523809523792</v>
      </c>
      <c r="AD7" s="10">
        <f t="shared" si="8"/>
        <v>31.304347826086961</v>
      </c>
      <c r="AE7" s="2">
        <f t="shared" si="9"/>
        <v>71.260000000000005</v>
      </c>
      <c r="AF7" s="9">
        <f t="shared" si="10"/>
        <v>0.65833333333333344</v>
      </c>
      <c r="AG7" s="9">
        <f t="shared" si="11"/>
        <v>0.74534161490683237</v>
      </c>
      <c r="AH7" s="70">
        <f t="shared" si="12"/>
        <v>0.38436853002070404</v>
      </c>
    </row>
    <row r="8" spans="1:34" customFormat="1" ht="16.149999999999999" customHeight="1" x14ac:dyDescent="0.25">
      <c r="A8" s="2">
        <v>5</v>
      </c>
      <c r="B8" s="3">
        <v>46050</v>
      </c>
      <c r="C8" s="1" t="s">
        <v>34</v>
      </c>
      <c r="D8" s="1">
        <v>274</v>
      </c>
      <c r="E8" s="4" t="s">
        <v>37</v>
      </c>
      <c r="F8" s="5" t="s">
        <v>36</v>
      </c>
      <c r="G8" s="4">
        <v>28311.15</v>
      </c>
      <c r="H8" s="4">
        <v>22860.400000000001</v>
      </c>
      <c r="I8" s="4">
        <v>240</v>
      </c>
      <c r="J8" s="4">
        <v>25</v>
      </c>
      <c r="K8" s="4"/>
      <c r="L8" s="4"/>
      <c r="M8" s="4"/>
      <c r="N8" s="4" cm="1">
        <f t="array" ref="N8">_xlfn.IFS(E8="MOLINOS CHAMPION S.F",42,E8="PROPALCOL",42,E8="MASTERTEC",42,E8="GANADERIA OVIA",42,E8="ENGORDE",40,E8="DESCARTES",40,E8="REPRODUCTORA",10,E8="BAJO PESO",40,E8="CHICKENCORP",42)</f>
        <v>40</v>
      </c>
      <c r="O8" s="7">
        <f t="shared" si="0"/>
        <v>0.80746984845193503</v>
      </c>
      <c r="P8" s="4">
        <f t="shared" si="1"/>
        <v>117.96312500000001</v>
      </c>
      <c r="Q8" s="4">
        <f t="shared" si="2"/>
        <v>95.251666666666679</v>
      </c>
      <c r="R8" s="7">
        <f t="shared" si="3"/>
        <v>0.89583333333333337</v>
      </c>
      <c r="S8" s="13">
        <v>36</v>
      </c>
      <c r="T8" s="11">
        <v>0.35069444444444442</v>
      </c>
      <c r="U8" s="11">
        <v>0.64861111111111114</v>
      </c>
      <c r="V8" s="12"/>
      <c r="W8" s="12"/>
      <c r="X8" s="14"/>
      <c r="Y8" s="2">
        <f t="shared" si="4"/>
        <v>0</v>
      </c>
      <c r="Z8" s="2">
        <v>1</v>
      </c>
      <c r="AA8" s="2">
        <f t="shared" si="5"/>
        <v>6</v>
      </c>
      <c r="AB8" s="8">
        <f t="shared" si="6"/>
        <v>6.15</v>
      </c>
      <c r="AC8" s="8">
        <f t="shared" si="7"/>
        <v>0.15000000000000036</v>
      </c>
      <c r="AD8" s="10">
        <f t="shared" si="8"/>
        <v>39.024390243902438</v>
      </c>
      <c r="AE8" s="2">
        <f t="shared" si="9"/>
        <v>103.25</v>
      </c>
      <c r="AF8" s="9">
        <f t="shared" si="10"/>
        <v>0.97499999999999998</v>
      </c>
      <c r="AG8" s="9">
        <f t="shared" si="11"/>
        <v>0.97560975609756095</v>
      </c>
      <c r="AH8" s="70">
        <f t="shared" si="12"/>
        <v>0.85213414634146334</v>
      </c>
    </row>
    <row r="9" spans="1:34" customFormat="1" ht="16.149999999999999" customHeight="1" x14ac:dyDescent="0.25">
      <c r="A9" s="2">
        <v>5</v>
      </c>
      <c r="B9" s="3">
        <v>46050</v>
      </c>
      <c r="C9" s="1" t="s">
        <v>34</v>
      </c>
      <c r="D9" s="6"/>
      <c r="E9" s="4" t="s">
        <v>40</v>
      </c>
      <c r="F9" s="5" t="s">
        <v>36</v>
      </c>
      <c r="G9" s="4">
        <v>1171.75</v>
      </c>
      <c r="H9" s="4">
        <v>847.9</v>
      </c>
      <c r="I9" s="16">
        <v>45</v>
      </c>
      <c r="J9" s="16">
        <v>25</v>
      </c>
      <c r="K9" s="4"/>
      <c r="L9" s="16"/>
      <c r="M9" s="4"/>
      <c r="N9" s="4" cm="1">
        <f t="array" ref="N9">_xlfn.IFS(E9="MOLINOS CHAMPION S.F",42,E9="PROPALCOL",42,E9="MASTERTEC",42,E9="GANADERIA OVIA",42,E9="ENGORDE",40,E9="DESCARTES",40,E9="REPRODUCTORA",10,E9="BAJO PESO",40,E9="CHICKENCORP",42)</f>
        <v>40</v>
      </c>
      <c r="O9" s="7">
        <f t="shared" si="0"/>
        <v>0.72361851930872623</v>
      </c>
      <c r="P9" s="4">
        <f t="shared" si="1"/>
        <v>26.038888888888888</v>
      </c>
      <c r="Q9" s="4">
        <f t="shared" si="2"/>
        <v>18.842222222222222</v>
      </c>
      <c r="R9" s="7">
        <f t="shared" si="3"/>
        <v>0.44444444444444442</v>
      </c>
      <c r="S9" s="13">
        <v>36</v>
      </c>
      <c r="T9" s="11">
        <v>0.61805555555555558</v>
      </c>
      <c r="U9" s="11">
        <v>0.67361111111111116</v>
      </c>
      <c r="V9" s="12"/>
      <c r="W9" s="12"/>
      <c r="X9" s="14"/>
      <c r="Y9" s="2">
        <f t="shared" si="4"/>
        <v>0</v>
      </c>
      <c r="Z9" s="2"/>
      <c r="AA9" s="2">
        <f t="shared" si="5"/>
        <v>1.125</v>
      </c>
      <c r="AB9" s="8">
        <f t="shared" si="6"/>
        <v>1.3333333333333333</v>
      </c>
      <c r="AC9" s="8">
        <f t="shared" si="7"/>
        <v>0.20833333333333326</v>
      </c>
      <c r="AD9" s="10">
        <f t="shared" si="8"/>
        <v>33.75</v>
      </c>
      <c r="AE9" s="2">
        <f t="shared" si="9"/>
        <v>17.66</v>
      </c>
      <c r="AF9" s="9">
        <f t="shared" si="10"/>
        <v>0.81481481481481488</v>
      </c>
      <c r="AG9" s="9">
        <f t="shared" si="11"/>
        <v>0.84375</v>
      </c>
      <c r="AH9" s="70">
        <f t="shared" si="12"/>
        <v>0.30555555555555558</v>
      </c>
    </row>
    <row r="10" spans="1:34" customFormat="1" ht="16.149999999999999" customHeight="1" x14ac:dyDescent="0.25">
      <c r="A10" s="2">
        <v>5</v>
      </c>
      <c r="B10" s="3">
        <v>46051</v>
      </c>
      <c r="C10" s="1" t="s">
        <v>34</v>
      </c>
      <c r="D10" s="1">
        <v>274</v>
      </c>
      <c r="E10" s="4" t="s">
        <v>37</v>
      </c>
      <c r="F10" s="5" t="s">
        <v>36</v>
      </c>
      <c r="G10" s="4">
        <v>34524.550000000003</v>
      </c>
      <c r="H10" s="4">
        <v>27933.05000000001</v>
      </c>
      <c r="I10" s="16">
        <v>290</v>
      </c>
      <c r="J10" s="16">
        <v>27</v>
      </c>
      <c r="K10" s="4"/>
      <c r="L10" s="16"/>
      <c r="M10" s="4"/>
      <c r="N10" s="4" cm="1">
        <f t="array" ref="N10">_xlfn.IFS(E10="MOLINOS CHAMPION S.F",42,E10="PROPALCOL",42,E10="MASTERTEC",42,E10="GANADERIA OVIA",42,E10="ENGORDE",40,E10="DESCARTES",40,E10="REPRODUCTORA",10,E10="BAJO PESO",40,E10="CHICKENCORP",42)</f>
        <v>40</v>
      </c>
      <c r="O10" s="7">
        <f t="shared" si="0"/>
        <v>0.80907788805357372</v>
      </c>
      <c r="P10" s="4">
        <f t="shared" si="1"/>
        <v>119.05017241379312</v>
      </c>
      <c r="Q10" s="4">
        <f t="shared" si="2"/>
        <v>96.320862068965553</v>
      </c>
      <c r="R10" s="7">
        <f t="shared" si="3"/>
        <v>0.90689655172413797</v>
      </c>
      <c r="S10" s="13">
        <v>38</v>
      </c>
      <c r="T10" s="11">
        <v>0.29166666666666669</v>
      </c>
      <c r="U10" s="11">
        <v>0.60416666666666663</v>
      </c>
      <c r="V10" s="12"/>
      <c r="W10" s="12"/>
      <c r="X10" s="14"/>
      <c r="Y10" s="2">
        <f t="shared" si="4"/>
        <v>0</v>
      </c>
      <c r="Z10" s="2">
        <v>1</v>
      </c>
      <c r="AA10" s="2">
        <f t="shared" si="5"/>
        <v>7.25</v>
      </c>
      <c r="AB10" s="8">
        <f t="shared" si="6"/>
        <v>6.5</v>
      </c>
      <c r="AC10" s="8">
        <f t="shared" si="7"/>
        <v>0</v>
      </c>
      <c r="AD10" s="10">
        <f t="shared" si="8"/>
        <v>44.615384615384613</v>
      </c>
      <c r="AE10" s="2">
        <f t="shared" si="9"/>
        <v>113.09</v>
      </c>
      <c r="AF10" s="9">
        <f t="shared" si="10"/>
        <v>1</v>
      </c>
      <c r="AG10" s="9">
        <f t="shared" si="11"/>
        <v>1</v>
      </c>
      <c r="AH10" s="70">
        <f t="shared" si="12"/>
        <v>0.90689655172413797</v>
      </c>
    </row>
    <row r="11" spans="1:34" customFormat="1" ht="16.149999999999999" customHeight="1" x14ac:dyDescent="0.25">
      <c r="A11" s="2">
        <v>5</v>
      </c>
      <c r="B11" s="3">
        <v>46052</v>
      </c>
      <c r="C11" s="1" t="s">
        <v>34</v>
      </c>
      <c r="D11" s="1">
        <v>274</v>
      </c>
      <c r="E11" s="4" t="s">
        <v>37</v>
      </c>
      <c r="F11" s="5" t="s">
        <v>36</v>
      </c>
      <c r="G11" s="4">
        <v>15580.2</v>
      </c>
      <c r="H11" s="4">
        <v>12704.65</v>
      </c>
      <c r="I11" s="4">
        <v>135</v>
      </c>
      <c r="J11" s="4">
        <v>21</v>
      </c>
      <c r="K11" s="4"/>
      <c r="L11" s="4"/>
      <c r="M11" s="4"/>
      <c r="N11" s="4" cm="1">
        <f t="array" ref="N11">_xlfn.IFS(E11="MOLINOS CHAMPION S.F",42,E11="PROPALCOL",42,E11="MASTERTEC",42,E11="GANADERIA OVIA",42,E11="ENGORDE",40,E11="DESCARTES",40,E11="REPRODUCTORA",10,E11="BAJO PESO",40,E11="CHICKENCORP",42)</f>
        <v>40</v>
      </c>
      <c r="O11" s="7">
        <f t="shared" si="0"/>
        <v>0.81543561700106537</v>
      </c>
      <c r="P11" s="4">
        <f t="shared" si="1"/>
        <v>115.4088888888889</v>
      </c>
      <c r="Q11" s="4">
        <f t="shared" si="2"/>
        <v>94.108518518518522</v>
      </c>
      <c r="R11" s="7">
        <f t="shared" si="3"/>
        <v>0.84444444444444444</v>
      </c>
      <c r="S11" s="13">
        <v>33</v>
      </c>
      <c r="T11" s="11">
        <v>0.29166666666666669</v>
      </c>
      <c r="U11" s="11">
        <v>0.42986111111111114</v>
      </c>
      <c r="V11" s="12"/>
      <c r="W11" s="12"/>
      <c r="X11" s="14"/>
      <c r="Y11" s="2">
        <f t="shared" si="4"/>
        <v>0</v>
      </c>
      <c r="Z11" s="2"/>
      <c r="AA11" s="2">
        <f t="shared" si="5"/>
        <v>3.375</v>
      </c>
      <c r="AB11" s="8">
        <f t="shared" si="6"/>
        <v>3.3166666666666664</v>
      </c>
      <c r="AC11" s="8">
        <f t="shared" si="7"/>
        <v>0</v>
      </c>
      <c r="AD11" s="10">
        <f t="shared" si="8"/>
        <v>40.7035175879397</v>
      </c>
      <c r="AE11" s="2">
        <f t="shared" si="9"/>
        <v>116.08</v>
      </c>
      <c r="AF11" s="9">
        <f t="shared" si="10"/>
        <v>1</v>
      </c>
      <c r="AG11" s="9">
        <f t="shared" si="11"/>
        <v>1</v>
      </c>
      <c r="AH11" s="70">
        <f t="shared" si="12"/>
        <v>0.84444444444444444</v>
      </c>
    </row>
    <row r="12" spans="1:34" customFormat="1" ht="16.149999999999999" customHeight="1" x14ac:dyDescent="0.25">
      <c r="A12" s="2">
        <v>5</v>
      </c>
      <c r="B12" s="3">
        <v>46052</v>
      </c>
      <c r="C12" s="1" t="s">
        <v>34</v>
      </c>
      <c r="D12" s="6"/>
      <c r="E12" s="4" t="s">
        <v>41</v>
      </c>
      <c r="F12" s="5" t="s">
        <v>36</v>
      </c>
      <c r="G12" s="4">
        <v>12666.9</v>
      </c>
      <c r="H12" s="4">
        <v>9559.0499999999993</v>
      </c>
      <c r="I12" s="4">
        <v>186</v>
      </c>
      <c r="J12" s="4">
        <v>35</v>
      </c>
      <c r="K12" s="4"/>
      <c r="L12" s="4"/>
      <c r="M12" s="4"/>
      <c r="N12" s="4" cm="1">
        <f t="array" ref="N12">_xlfn.IFS(E12="MOLINOS CHAMPION S.F",42,E12="PROPALCOL",42,E12="MASTERTEC",42,E12="GANADERIA OVIA",42,E12="ENGORDE",40,E12="DESCARTES",40,E12="REPRODUCTORA",10,E12="BAJO PESO",40,E12="CHICKENCORP",42)</f>
        <v>40</v>
      </c>
      <c r="O12" s="7">
        <f t="shared" si="0"/>
        <v>0.7546479406958293</v>
      </c>
      <c r="P12" s="4">
        <f t="shared" si="1"/>
        <v>68.101612903225799</v>
      </c>
      <c r="Q12" s="4">
        <f t="shared" si="2"/>
        <v>51.392741935483869</v>
      </c>
      <c r="R12" s="7">
        <f t="shared" si="3"/>
        <v>0.81182795698924726</v>
      </c>
      <c r="S12" s="13">
        <v>35</v>
      </c>
      <c r="T12" s="11">
        <v>0.41319444444444442</v>
      </c>
      <c r="U12" s="11">
        <v>0.68055555555555558</v>
      </c>
      <c r="V12" s="12"/>
      <c r="W12" s="12"/>
      <c r="X12" s="14"/>
      <c r="Y12" s="2">
        <f t="shared" si="4"/>
        <v>0</v>
      </c>
      <c r="Z12" s="2">
        <v>1</v>
      </c>
      <c r="AA12" s="2">
        <f t="shared" si="5"/>
        <v>4.6500000000000004</v>
      </c>
      <c r="AB12" s="8">
        <f t="shared" si="6"/>
        <v>5.416666666666667</v>
      </c>
      <c r="AC12" s="8">
        <f t="shared" si="7"/>
        <v>0.76666666666666661</v>
      </c>
      <c r="AD12" s="10">
        <f t="shared" si="8"/>
        <v>34.338461538461537</v>
      </c>
      <c r="AE12" s="2">
        <f t="shared" si="9"/>
        <v>50.42</v>
      </c>
      <c r="AF12" s="9">
        <f t="shared" si="10"/>
        <v>0.83512544802867383</v>
      </c>
      <c r="AG12" s="9">
        <f t="shared" si="11"/>
        <v>0.85846153846153839</v>
      </c>
      <c r="AH12" s="70">
        <f t="shared" si="12"/>
        <v>0.58201819685690648</v>
      </c>
    </row>
    <row r="13" spans="1:34" customFormat="1" ht="16.149999999999999" customHeight="1" x14ac:dyDescent="0.25">
      <c r="A13" s="2">
        <v>6</v>
      </c>
      <c r="B13" s="3">
        <v>46055</v>
      </c>
      <c r="C13" s="1" t="s">
        <v>34</v>
      </c>
      <c r="D13" s="1">
        <v>5470</v>
      </c>
      <c r="E13" s="4" t="s">
        <v>35</v>
      </c>
      <c r="F13" s="5" t="s">
        <v>36</v>
      </c>
      <c r="G13" s="4">
        <v>5966.3</v>
      </c>
      <c r="H13" s="4">
        <v>4514.1499999999996</v>
      </c>
      <c r="I13" s="4">
        <v>60</v>
      </c>
      <c r="J13" s="4">
        <v>13</v>
      </c>
      <c r="K13" s="4"/>
      <c r="L13" s="4"/>
      <c r="M13" s="4"/>
      <c r="N13" s="4" cm="1">
        <f t="array" ref="N13">_xlfn.IFS(E13="MOLINOS CHAMPION S.F",42,E13="PROPALCOL",42,E13="MASTERTEC",42,E13="GANADERIA OVIA",42,E13="ENGORDE",40,E13="DESCARTES",40,E13="REPRODUCTORA",10,E13="BAJO PESO",40,E13="CHICKENCORP",42)</f>
        <v>42</v>
      </c>
      <c r="O13" s="7">
        <f t="shared" si="0"/>
        <v>0.75660794797445641</v>
      </c>
      <c r="P13" s="4">
        <f t="shared" si="1"/>
        <v>99.438333333333333</v>
      </c>
      <c r="Q13" s="4">
        <f t="shared" si="2"/>
        <v>75.235833333333332</v>
      </c>
      <c r="R13" s="7">
        <f t="shared" si="3"/>
        <v>0.78333333333333333</v>
      </c>
      <c r="S13" s="13">
        <v>36</v>
      </c>
      <c r="T13" s="11">
        <v>0.30208333333333331</v>
      </c>
      <c r="U13" s="11">
        <v>0.38194444444444442</v>
      </c>
      <c r="V13" s="12"/>
      <c r="W13" s="12"/>
      <c r="X13" s="14"/>
      <c r="Y13" s="2">
        <f t="shared" si="4"/>
        <v>0</v>
      </c>
      <c r="Z13" s="2"/>
      <c r="AA13" s="2">
        <f t="shared" si="5"/>
        <v>1.4285714285714286</v>
      </c>
      <c r="AB13" s="8">
        <f t="shared" si="6"/>
        <v>1.9166666666666665</v>
      </c>
      <c r="AC13" s="8">
        <f t="shared" si="7"/>
        <v>0.48809523809523792</v>
      </c>
      <c r="AD13" s="10">
        <f t="shared" si="8"/>
        <v>31.304347826086961</v>
      </c>
      <c r="AE13" s="2">
        <f t="shared" si="9"/>
        <v>65.42</v>
      </c>
      <c r="AF13" s="9">
        <f t="shared" si="10"/>
        <v>0.65833333333333344</v>
      </c>
      <c r="AG13" s="9">
        <f t="shared" si="11"/>
        <v>0.74534161490683237</v>
      </c>
      <c r="AH13" s="70">
        <f t="shared" si="12"/>
        <v>0.38436853002070404</v>
      </c>
    </row>
    <row r="14" spans="1:34" customFormat="1" ht="16.149999999999999" customHeight="1" x14ac:dyDescent="0.25">
      <c r="A14" s="2">
        <v>6</v>
      </c>
      <c r="B14" s="3">
        <v>46055</v>
      </c>
      <c r="C14" s="1" t="s">
        <v>34</v>
      </c>
      <c r="D14" s="1">
        <v>274</v>
      </c>
      <c r="E14" s="4" t="s">
        <v>37</v>
      </c>
      <c r="F14" s="5" t="s">
        <v>36</v>
      </c>
      <c r="G14" s="4">
        <v>27660.7</v>
      </c>
      <c r="H14" s="4">
        <v>22521.4</v>
      </c>
      <c r="I14" s="4">
        <v>242</v>
      </c>
      <c r="J14" s="4">
        <v>33</v>
      </c>
      <c r="K14" s="4"/>
      <c r="L14" s="4"/>
      <c r="M14" s="4"/>
      <c r="N14" s="4" cm="1">
        <f t="array" ref="N14">_xlfn.IFS(E14="MOLINOS CHAMPION S.F",42,E14="PROPALCOL",42,E14="MASTERTEC",42,E14="GANADERIA OVIA",42,E14="ENGORDE",40,E14="DESCARTES",40,E14="REPRODUCTORA",10,E14="BAJO PESO",40,E14="CHICKENCORP",42)</f>
        <v>40</v>
      </c>
      <c r="O14" s="7">
        <f t="shared" si="0"/>
        <v>0.81420209900689433</v>
      </c>
      <c r="P14" s="4">
        <f t="shared" si="1"/>
        <v>114.3004132231405</v>
      </c>
      <c r="Q14" s="4">
        <f t="shared" si="2"/>
        <v>93.063636363636363</v>
      </c>
      <c r="R14" s="7">
        <f t="shared" si="3"/>
        <v>0.86363636363636365</v>
      </c>
      <c r="S14" s="13">
        <v>36</v>
      </c>
      <c r="T14" s="11">
        <v>0.36180555555555555</v>
      </c>
      <c r="U14" s="11">
        <v>0.66666666666666663</v>
      </c>
      <c r="V14" s="12"/>
      <c r="W14" s="12"/>
      <c r="X14" s="14"/>
      <c r="Y14" s="2">
        <f t="shared" si="4"/>
        <v>0</v>
      </c>
      <c r="Z14" s="2">
        <v>1</v>
      </c>
      <c r="AA14" s="2">
        <f t="shared" si="5"/>
        <v>6.05</v>
      </c>
      <c r="AB14" s="8">
        <f t="shared" si="6"/>
        <v>6.3166666666666664</v>
      </c>
      <c r="AC14" s="8">
        <f t="shared" si="7"/>
        <v>0.26666666666666661</v>
      </c>
      <c r="AD14" s="10">
        <f t="shared" si="8"/>
        <v>38.311345646437999</v>
      </c>
      <c r="AE14" s="2">
        <f t="shared" si="9"/>
        <v>99.04</v>
      </c>
      <c r="AF14" s="9">
        <f t="shared" si="10"/>
        <v>0.9559228650137741</v>
      </c>
      <c r="AG14" s="9">
        <f t="shared" si="11"/>
        <v>0.95778364116094994</v>
      </c>
      <c r="AH14" s="70">
        <f t="shared" si="12"/>
        <v>0.79071719836891352</v>
      </c>
    </row>
    <row r="15" spans="1:34" customFormat="1" ht="16.149999999999999" customHeight="1" x14ac:dyDescent="0.25">
      <c r="A15" s="2">
        <v>6</v>
      </c>
      <c r="B15" s="3">
        <v>46055</v>
      </c>
      <c r="C15" s="1" t="s">
        <v>38</v>
      </c>
      <c r="D15" s="6"/>
      <c r="E15" s="4" t="s">
        <v>39</v>
      </c>
      <c r="F15" s="5" t="s">
        <v>36</v>
      </c>
      <c r="G15" s="4">
        <v>3800.5</v>
      </c>
      <c r="H15" s="4">
        <v>2965.55</v>
      </c>
      <c r="I15" s="4">
        <v>16</v>
      </c>
      <c r="J15" s="4">
        <v>4</v>
      </c>
      <c r="K15" s="4"/>
      <c r="L15" s="4"/>
      <c r="M15" s="4"/>
      <c r="N15" s="4" cm="1">
        <f t="array" ref="N15">_xlfn.IFS(E15="MOLINOS CHAMPION S.F",42,E15="PROPALCOL",42,E15="MASTERTEC",42,E15="GANADERIA OVIA",42,E15="ENGORDE",40,E15="DESCARTES",40,E15="REPRODUCTORA",10,E15="BAJO PESO",40,E15="CHICKENCORP",42)</f>
        <v>10</v>
      </c>
      <c r="O15" s="7">
        <f t="shared" si="0"/>
        <v>0.78030522299697413</v>
      </c>
      <c r="P15" s="4">
        <f t="shared" si="1"/>
        <v>237.53125</v>
      </c>
      <c r="Q15" s="4">
        <f t="shared" si="2"/>
        <v>185.34687500000001</v>
      </c>
      <c r="R15" s="7">
        <f t="shared" si="3"/>
        <v>0.75</v>
      </c>
      <c r="S15" s="13">
        <v>36</v>
      </c>
      <c r="T15" s="11">
        <v>0.64236111111111116</v>
      </c>
      <c r="U15" s="11">
        <v>0.71527777777777779</v>
      </c>
      <c r="V15" s="12"/>
      <c r="W15" s="12"/>
      <c r="X15" s="14"/>
      <c r="Y15" s="2">
        <f t="shared" si="4"/>
        <v>0</v>
      </c>
      <c r="Z15" s="2"/>
      <c r="AA15" s="2">
        <f t="shared" si="5"/>
        <v>1.6</v>
      </c>
      <c r="AB15" s="8">
        <f t="shared" si="6"/>
        <v>1.75</v>
      </c>
      <c r="AC15" s="8">
        <f t="shared" si="7"/>
        <v>0.14999999999999991</v>
      </c>
      <c r="AD15" s="10">
        <f t="shared" si="8"/>
        <v>9.1428571428571423</v>
      </c>
      <c r="AE15" s="2">
        <f t="shared" si="9"/>
        <v>47.07</v>
      </c>
      <c r="AF15" s="9">
        <f t="shared" si="10"/>
        <v>0.90625000000000011</v>
      </c>
      <c r="AG15" s="9">
        <f t="shared" si="11"/>
        <v>0.91428571428571426</v>
      </c>
      <c r="AH15" s="70">
        <f t="shared" si="12"/>
        <v>0.62142857142857155</v>
      </c>
    </row>
    <row r="16" spans="1:34" customFormat="1" ht="16.149999999999999" customHeight="1" x14ac:dyDescent="0.25">
      <c r="A16" s="2">
        <v>6</v>
      </c>
      <c r="B16" s="3">
        <v>46056</v>
      </c>
      <c r="C16" s="1" t="s">
        <v>34</v>
      </c>
      <c r="D16" s="1">
        <v>5470</v>
      </c>
      <c r="E16" s="4" t="s">
        <v>35</v>
      </c>
      <c r="F16" s="5" t="s">
        <v>36</v>
      </c>
      <c r="G16" s="4">
        <v>6556.3</v>
      </c>
      <c r="H16" s="4">
        <v>5065.7</v>
      </c>
      <c r="I16" s="4">
        <v>60</v>
      </c>
      <c r="J16" s="16">
        <v>23</v>
      </c>
      <c r="K16" s="4"/>
      <c r="L16" s="16"/>
      <c r="M16" s="4"/>
      <c r="N16" s="4" cm="1">
        <f t="array" ref="N16">_xlfn.IFS(E16="MOLINOS CHAMPION S.F",42,E16="PROPALCOL",42,E16="MASTERTEC",42,E16="GANADERIA OVIA",42,E16="ENGORDE",40,E16="DESCARTES",40,E16="REPRODUCTORA",10,E16="BAJO PESO",40,E16="CHICKENCORP",42)</f>
        <v>42</v>
      </c>
      <c r="O16" s="7">
        <f t="shared" si="0"/>
        <v>0.7726461571313088</v>
      </c>
      <c r="P16" s="4">
        <f t="shared" si="1"/>
        <v>109.27166666666668</v>
      </c>
      <c r="Q16" s="4">
        <f t="shared" si="2"/>
        <v>84.428333333333327</v>
      </c>
      <c r="R16" s="7">
        <f t="shared" si="3"/>
        <v>0.6166666666666667</v>
      </c>
      <c r="S16" s="13">
        <v>31</v>
      </c>
      <c r="T16" s="11">
        <v>0.34375</v>
      </c>
      <c r="U16" s="11">
        <v>0.64375000000000004</v>
      </c>
      <c r="V16" s="12"/>
      <c r="W16" s="12"/>
      <c r="X16" s="14"/>
      <c r="Y16" s="2">
        <f t="shared" si="4"/>
        <v>0</v>
      </c>
      <c r="Z16" s="2">
        <v>1</v>
      </c>
      <c r="AA16" s="2">
        <f t="shared" si="5"/>
        <v>1.4285714285714286</v>
      </c>
      <c r="AB16" s="8">
        <f t="shared" si="6"/>
        <v>6.2</v>
      </c>
      <c r="AC16" s="8">
        <f t="shared" si="7"/>
        <v>4.7714285714285714</v>
      </c>
      <c r="AD16" s="10">
        <f t="shared" si="8"/>
        <v>9.67741935483871</v>
      </c>
      <c r="AE16" s="2">
        <f t="shared" si="9"/>
        <v>26.36</v>
      </c>
      <c r="AF16" s="9">
        <f t="shared" si="10"/>
        <v>0</v>
      </c>
      <c r="AG16" s="9">
        <f t="shared" si="11"/>
        <v>0.2304147465437788</v>
      </c>
      <c r="AH16" s="70">
        <f t="shared" si="12"/>
        <v>0</v>
      </c>
    </row>
    <row r="17" spans="1:35" customFormat="1" ht="15.6" customHeight="1" x14ac:dyDescent="0.25">
      <c r="A17" s="2">
        <v>6</v>
      </c>
      <c r="B17" s="3">
        <v>46056</v>
      </c>
      <c r="C17" s="1" t="s">
        <v>34</v>
      </c>
      <c r="D17" s="1">
        <v>274</v>
      </c>
      <c r="E17" s="4" t="s">
        <v>37</v>
      </c>
      <c r="F17" s="5" t="s">
        <v>36</v>
      </c>
      <c r="G17" s="4">
        <v>29068.9</v>
      </c>
      <c r="H17" s="4">
        <v>23546.9</v>
      </c>
      <c r="I17" s="4">
        <v>241</v>
      </c>
      <c r="J17" s="16">
        <v>35</v>
      </c>
      <c r="K17" s="4"/>
      <c r="L17" s="16"/>
      <c r="M17" s="4"/>
      <c r="N17" s="4" cm="1">
        <f t="array" ref="N17">_xlfn.IFS(E17="MOLINOS CHAMPION S.F",42,E17="PROPALCOL",42,E17="MASTERTEC",42,E17="GANADERIA OVIA",42,E17="ENGORDE",40,E17="DESCARTES",40,E17="REPRODUCTORA",10,E17="BAJO PESO",40,E17="CHICKENCORP",42)</f>
        <v>40</v>
      </c>
      <c r="O17" s="7">
        <f t="shared" si="0"/>
        <v>0.81003753151994051</v>
      </c>
      <c r="P17" s="4">
        <f t="shared" si="1"/>
        <v>120.61784232365146</v>
      </c>
      <c r="Q17" s="4">
        <f t="shared" si="2"/>
        <v>97.704979253112043</v>
      </c>
      <c r="R17" s="7">
        <f t="shared" si="3"/>
        <v>0.85477178423236511</v>
      </c>
      <c r="S17" s="13">
        <v>31</v>
      </c>
      <c r="T17" s="11">
        <v>0.64930555555555558</v>
      </c>
      <c r="U17" s="11">
        <v>0.70833333333333337</v>
      </c>
      <c r="V17" s="12"/>
      <c r="W17" s="12"/>
      <c r="X17" s="14"/>
      <c r="Y17" s="2">
        <f t="shared" si="4"/>
        <v>0</v>
      </c>
      <c r="Z17" s="2"/>
      <c r="AA17" s="2">
        <f t="shared" si="5"/>
        <v>6.0250000000000004</v>
      </c>
      <c r="AB17" s="8">
        <f t="shared" si="6"/>
        <v>1.4166666666666667</v>
      </c>
      <c r="AC17" s="8">
        <f t="shared" si="7"/>
        <v>0</v>
      </c>
      <c r="AD17" s="10">
        <f t="shared" si="8"/>
        <v>170.11764705882351</v>
      </c>
      <c r="AE17" s="2">
        <f t="shared" si="9"/>
        <v>536.16999999999996</v>
      </c>
      <c r="AF17" s="9">
        <f t="shared" si="10"/>
        <v>1</v>
      </c>
      <c r="AG17" s="9">
        <f t="shared" si="11"/>
        <v>1</v>
      </c>
      <c r="AH17" s="70">
        <f t="shared" si="12"/>
        <v>0.85477178423236511</v>
      </c>
    </row>
    <row r="18" spans="1:35" customFormat="1" ht="16.149999999999999" customHeight="1" x14ac:dyDescent="0.25">
      <c r="A18" s="2">
        <v>6</v>
      </c>
      <c r="B18" s="3">
        <v>46056</v>
      </c>
      <c r="C18" s="17" t="s">
        <v>34</v>
      </c>
      <c r="D18" s="18"/>
      <c r="E18" s="19" t="s">
        <v>41</v>
      </c>
      <c r="F18" s="20" t="s">
        <v>36</v>
      </c>
      <c r="G18" s="4">
        <v>4243.1499999999996</v>
      </c>
      <c r="H18" s="4">
        <v>3220.05</v>
      </c>
      <c r="I18" s="4">
        <v>60</v>
      </c>
      <c r="J18" s="16">
        <v>45</v>
      </c>
      <c r="K18" s="4"/>
      <c r="L18" s="16"/>
      <c r="M18" s="4"/>
      <c r="N18" s="4" cm="1">
        <f t="array" ref="N18">_xlfn.IFS(E18="MOLINOS CHAMPION S.F",42,E18="PROPALCOL",42,E18="MASTERTEC",42,E18="GANADERIA OVIA",42,E18="ENGORDE",40,E18="DESCARTES",40,E18="REPRODUCTORA",10,E18="BAJO PESO",40,E18="CHICKENCORP",42)</f>
        <v>40</v>
      </c>
      <c r="O18" s="7">
        <f t="shared" si="0"/>
        <v>0.75888196269281083</v>
      </c>
      <c r="P18" s="4">
        <f t="shared" si="1"/>
        <v>70.719166666666666</v>
      </c>
      <c r="Q18" s="4">
        <f t="shared" si="2"/>
        <v>53.667500000000004</v>
      </c>
      <c r="R18" s="7">
        <f t="shared" si="3"/>
        <v>0.25</v>
      </c>
      <c r="S18" s="13">
        <v>31</v>
      </c>
      <c r="T18" s="11">
        <v>0.64930555555555558</v>
      </c>
      <c r="U18" s="11">
        <v>0.70833333333333337</v>
      </c>
      <c r="V18" s="12"/>
      <c r="W18" s="12"/>
      <c r="X18" s="14"/>
      <c r="Y18" s="2">
        <f t="shared" si="4"/>
        <v>0</v>
      </c>
      <c r="Z18" s="2"/>
      <c r="AA18" s="2">
        <f t="shared" si="5"/>
        <v>1.5</v>
      </c>
      <c r="AB18" s="8">
        <f t="shared" si="6"/>
        <v>1.4166666666666667</v>
      </c>
      <c r="AC18" s="8">
        <f t="shared" si="7"/>
        <v>0</v>
      </c>
      <c r="AD18" s="10">
        <f t="shared" si="8"/>
        <v>42.352941176470587</v>
      </c>
      <c r="AE18" s="2">
        <f t="shared" si="9"/>
        <v>73.319999999999993</v>
      </c>
      <c r="AF18" s="9">
        <f t="shared" si="10"/>
        <v>1</v>
      </c>
      <c r="AG18" s="9">
        <f t="shared" si="11"/>
        <v>1</v>
      </c>
      <c r="AH18" s="70">
        <f t="shared" si="12"/>
        <v>0.25</v>
      </c>
    </row>
    <row r="19" spans="1:35" customFormat="1" ht="16.149999999999999" customHeight="1" x14ac:dyDescent="0.25">
      <c r="A19" s="2">
        <v>6</v>
      </c>
      <c r="B19" s="3">
        <v>46057</v>
      </c>
      <c r="C19" s="17" t="s">
        <v>34</v>
      </c>
      <c r="D19" s="18"/>
      <c r="E19" s="4" t="s">
        <v>35</v>
      </c>
      <c r="F19" s="20" t="s">
        <v>36</v>
      </c>
      <c r="G19" s="4">
        <v>6431.8</v>
      </c>
      <c r="H19" s="4">
        <v>4890.8999999999996</v>
      </c>
      <c r="I19" s="4">
        <v>60</v>
      </c>
      <c r="J19" s="16">
        <v>12</v>
      </c>
      <c r="K19" s="4"/>
      <c r="L19" s="16"/>
      <c r="M19" s="4"/>
      <c r="N19" s="4" cm="1">
        <f t="array" ref="N19">_xlfn.IFS(E19="MOLINOS CHAMPION S.F",42,E19="PROPALCOL",42,E19="MASTERTEC",42,E19="GANADERIA OVIA",42,E19="ENGORDE",40,E19="DESCARTES",40,E19="REPRODUCTORA",10,E19="BAJO PESO",40,E19="CHICKENCORP",42)</f>
        <v>42</v>
      </c>
      <c r="O19" s="7">
        <f t="shared" si="0"/>
        <v>0.76042476445163087</v>
      </c>
      <c r="P19" s="4">
        <f t="shared" si="1"/>
        <v>107.19666666666667</v>
      </c>
      <c r="Q19" s="4">
        <f t="shared" si="2"/>
        <v>81.515000000000001</v>
      </c>
      <c r="R19" s="7">
        <f t="shared" si="3"/>
        <v>0.8</v>
      </c>
      <c r="S19" s="13">
        <v>32</v>
      </c>
      <c r="T19" s="11">
        <v>0.29166666666666669</v>
      </c>
      <c r="U19" s="11">
        <v>0.37847222222222221</v>
      </c>
      <c r="V19" s="12"/>
      <c r="W19" s="12"/>
      <c r="X19" s="14"/>
      <c r="Y19" s="2">
        <f t="shared" si="4"/>
        <v>0</v>
      </c>
      <c r="Z19" s="2"/>
      <c r="AA19" s="2">
        <f t="shared" si="5"/>
        <v>1.4285714285714286</v>
      </c>
      <c r="AB19" s="8">
        <f t="shared" si="6"/>
        <v>2.0833333333333335</v>
      </c>
      <c r="AC19" s="8">
        <f t="shared" si="7"/>
        <v>0.65476190476190488</v>
      </c>
      <c r="AD19" s="10">
        <f t="shared" si="8"/>
        <v>28.799999999999997</v>
      </c>
      <c r="AE19" s="2">
        <f t="shared" si="9"/>
        <v>73.36</v>
      </c>
      <c r="AF19" s="9">
        <f t="shared" si="10"/>
        <v>0.54166666666666663</v>
      </c>
      <c r="AG19" s="9">
        <f t="shared" si="11"/>
        <v>0.68571428571428561</v>
      </c>
      <c r="AH19" s="70">
        <f t="shared" si="12"/>
        <v>0.2971428571428571</v>
      </c>
    </row>
    <row r="20" spans="1:35" customFormat="1" ht="16.149999999999999" customHeight="1" x14ac:dyDescent="0.25">
      <c r="A20" s="2">
        <v>6</v>
      </c>
      <c r="B20" s="3">
        <v>46057</v>
      </c>
      <c r="C20" s="17" t="s">
        <v>34</v>
      </c>
      <c r="D20" s="18"/>
      <c r="E20" s="19" t="s">
        <v>37</v>
      </c>
      <c r="F20" s="20" t="s">
        <v>36</v>
      </c>
      <c r="G20" s="4">
        <v>27419.35</v>
      </c>
      <c r="H20" s="4">
        <v>22146.3</v>
      </c>
      <c r="I20" s="4">
        <v>240</v>
      </c>
      <c r="J20" s="16">
        <v>43</v>
      </c>
      <c r="K20" s="4"/>
      <c r="L20" s="16"/>
      <c r="M20" s="4"/>
      <c r="N20" s="4" cm="1">
        <f t="array" ref="N20">_xlfn.IFS(E20="MOLINOS CHAMPION S.F",42,E20="PROPALCOL",42,E20="MASTERTEC",42,E20="GANADERIA OVIA",42,E20="ENGORDE",40,E20="DESCARTES",40,E20="REPRODUCTORA",10,E20="BAJO PESO",40,E20="CHICKENCORP",42)</f>
        <v>40</v>
      </c>
      <c r="O20" s="7">
        <f t="shared" si="0"/>
        <v>0.80768873076859959</v>
      </c>
      <c r="P20" s="4">
        <f t="shared" si="1"/>
        <v>114.24729166666665</v>
      </c>
      <c r="Q20" s="4">
        <f t="shared" si="2"/>
        <v>92.27624999999999</v>
      </c>
      <c r="R20" s="7">
        <f t="shared" si="3"/>
        <v>0.8208333333333333</v>
      </c>
      <c r="S20" s="13">
        <v>32</v>
      </c>
      <c r="T20" s="11">
        <v>0.3611111111111111</v>
      </c>
      <c r="U20" s="11">
        <v>0.61111111111111116</v>
      </c>
      <c r="V20" s="12"/>
      <c r="W20" s="12"/>
      <c r="X20" s="14"/>
      <c r="Y20" s="2">
        <f t="shared" si="4"/>
        <v>0</v>
      </c>
      <c r="Z20" s="2">
        <v>1</v>
      </c>
      <c r="AA20" s="2">
        <f t="shared" si="5"/>
        <v>6</v>
      </c>
      <c r="AB20" s="8">
        <f t="shared" si="6"/>
        <v>5</v>
      </c>
      <c r="AC20" s="8">
        <f t="shared" si="7"/>
        <v>0</v>
      </c>
      <c r="AD20" s="10">
        <f t="shared" si="8"/>
        <v>48</v>
      </c>
      <c r="AE20" s="2">
        <f t="shared" si="9"/>
        <v>138.41</v>
      </c>
      <c r="AF20" s="9">
        <f t="shared" si="10"/>
        <v>1</v>
      </c>
      <c r="AG20" s="9">
        <f t="shared" si="11"/>
        <v>1</v>
      </c>
      <c r="AH20" s="70">
        <f t="shared" si="12"/>
        <v>0.8208333333333333</v>
      </c>
    </row>
    <row r="21" spans="1:35" customFormat="1" ht="16.149999999999999" customHeight="1" x14ac:dyDescent="0.25">
      <c r="A21" s="2">
        <v>6</v>
      </c>
      <c r="B21" s="3">
        <v>46057</v>
      </c>
      <c r="C21" s="17" t="s">
        <v>34</v>
      </c>
      <c r="D21" s="18"/>
      <c r="E21" s="19" t="s">
        <v>41</v>
      </c>
      <c r="F21" s="16" t="s">
        <v>36</v>
      </c>
      <c r="G21" s="4">
        <v>4860.95</v>
      </c>
      <c r="H21" s="4">
        <v>3672.4</v>
      </c>
      <c r="I21" s="4">
        <v>70</v>
      </c>
      <c r="J21" s="16">
        <v>55</v>
      </c>
      <c r="K21" s="4"/>
      <c r="L21" s="16"/>
      <c r="M21" s="4"/>
      <c r="N21" s="4" cm="1">
        <f t="array" ref="N21">_xlfn.IFS(E21="MOLINOS CHAMPION S.F",42,E21="PROPALCOL",42,E21="MASTERTEC",42,E21="GANADERIA OVIA",42,E21="ENGORDE",40,E21="DESCARTES",40,E21="REPRODUCTORA",10,E21="BAJO PESO",40,E21="CHICKENCORP",42)</f>
        <v>40</v>
      </c>
      <c r="O21" s="7">
        <f t="shared" si="0"/>
        <v>0.75549018196031648</v>
      </c>
      <c r="P21" s="4">
        <f t="shared" si="1"/>
        <v>69.442142857142855</v>
      </c>
      <c r="Q21" s="4">
        <f t="shared" si="2"/>
        <v>52.462857142857146</v>
      </c>
      <c r="R21" s="7">
        <f t="shared" si="3"/>
        <v>0.21428571428571427</v>
      </c>
      <c r="S21" s="13">
        <v>32</v>
      </c>
      <c r="T21" s="11">
        <v>0.61111111111111116</v>
      </c>
      <c r="U21" s="11">
        <v>0.67013888888888884</v>
      </c>
      <c r="V21" s="12"/>
      <c r="W21" s="12"/>
      <c r="X21" s="14"/>
      <c r="Y21" s="2">
        <f t="shared" si="4"/>
        <v>0</v>
      </c>
      <c r="Z21" s="2"/>
      <c r="AA21" s="2">
        <f t="shared" si="5"/>
        <v>1.75</v>
      </c>
      <c r="AB21" s="8">
        <f t="shared" si="6"/>
        <v>1.4166666666666667</v>
      </c>
      <c r="AC21" s="8">
        <f t="shared" si="7"/>
        <v>0</v>
      </c>
      <c r="AD21" s="10">
        <f t="shared" si="8"/>
        <v>49.411764705882348</v>
      </c>
      <c r="AE21" s="2">
        <f t="shared" si="9"/>
        <v>81.010000000000005</v>
      </c>
      <c r="AF21" s="9">
        <f t="shared" si="10"/>
        <v>1</v>
      </c>
      <c r="AG21" s="9">
        <f t="shared" si="11"/>
        <v>1</v>
      </c>
      <c r="AH21" s="70">
        <f t="shared" si="12"/>
        <v>0.21428571428571427</v>
      </c>
    </row>
    <row r="22" spans="1:35" customFormat="1" ht="16.149999999999999" customHeight="1" x14ac:dyDescent="0.25">
      <c r="A22" s="2">
        <v>6</v>
      </c>
      <c r="B22" s="3">
        <v>46058</v>
      </c>
      <c r="C22" s="1" t="s">
        <v>34</v>
      </c>
      <c r="D22" s="1">
        <v>274</v>
      </c>
      <c r="E22" s="4" t="s">
        <v>37</v>
      </c>
      <c r="F22" s="16" t="s">
        <v>36</v>
      </c>
      <c r="G22" s="4">
        <v>23660.3</v>
      </c>
      <c r="H22" s="4">
        <v>19091.3</v>
      </c>
      <c r="I22" s="4">
        <v>210</v>
      </c>
      <c r="J22" s="16">
        <v>59</v>
      </c>
      <c r="K22" s="4"/>
      <c r="L22" s="16"/>
      <c r="M22" s="4"/>
      <c r="N22" s="4" cm="1">
        <f t="array" ref="N22">_xlfn.IFS(E22="MOLINOS CHAMPION S.F",42,E22="PROPALCOL",42,E22="MASTERTEC",42,E22="GANADERIA OVIA",42,E22="ENGORDE",40,E22="DESCARTES",40,E22="REPRODUCTORA",10,E22="BAJO PESO",40,E22="CHICKENCORP",42)</f>
        <v>40</v>
      </c>
      <c r="O22" s="7">
        <f t="shared" si="0"/>
        <v>0.80689171312282604</v>
      </c>
      <c r="P22" s="4">
        <f t="shared" si="1"/>
        <v>112.66809523809523</v>
      </c>
      <c r="Q22" s="4">
        <f t="shared" si="2"/>
        <v>90.910952380952381</v>
      </c>
      <c r="R22" s="7">
        <f t="shared" si="3"/>
        <v>0.71904761904761905</v>
      </c>
      <c r="S22" s="13">
        <v>32</v>
      </c>
      <c r="T22" s="11">
        <v>0.2986111111111111</v>
      </c>
      <c r="U22" s="11">
        <v>0.45833333333333331</v>
      </c>
      <c r="V22" s="12"/>
      <c r="W22" s="12"/>
      <c r="X22" s="14"/>
      <c r="Y22" s="2">
        <f t="shared" si="4"/>
        <v>0</v>
      </c>
      <c r="Z22" s="2"/>
      <c r="AA22" s="2">
        <f t="shared" si="5"/>
        <v>5.25</v>
      </c>
      <c r="AB22" s="8">
        <f t="shared" si="6"/>
        <v>3.8333333333333335</v>
      </c>
      <c r="AC22" s="8">
        <f t="shared" si="7"/>
        <v>0</v>
      </c>
      <c r="AD22" s="10">
        <f t="shared" si="8"/>
        <v>54.782608695652172</v>
      </c>
      <c r="AE22" s="2">
        <f t="shared" si="9"/>
        <v>155.63999999999999</v>
      </c>
      <c r="AF22" s="9">
        <f t="shared" si="10"/>
        <v>1</v>
      </c>
      <c r="AG22" s="9">
        <f t="shared" si="11"/>
        <v>1</v>
      </c>
      <c r="AH22" s="70">
        <f t="shared" si="12"/>
        <v>0.71904761904761905</v>
      </c>
    </row>
    <row r="23" spans="1:35" customFormat="1" ht="16.149999999999999" customHeight="1" x14ac:dyDescent="0.25">
      <c r="A23" s="2">
        <v>6</v>
      </c>
      <c r="B23" s="3">
        <v>46058</v>
      </c>
      <c r="C23" s="17" t="s">
        <v>34</v>
      </c>
      <c r="D23" s="18"/>
      <c r="E23" s="19" t="s">
        <v>41</v>
      </c>
      <c r="F23" s="16" t="s">
        <v>36</v>
      </c>
      <c r="G23" s="4">
        <v>18144.45</v>
      </c>
      <c r="H23" s="4">
        <v>13966.95</v>
      </c>
      <c r="I23" s="4">
        <v>240</v>
      </c>
      <c r="J23" s="16">
        <v>200</v>
      </c>
      <c r="K23" s="4"/>
      <c r="L23" s="16"/>
      <c r="M23" s="4"/>
      <c r="N23" s="4" cm="1">
        <f t="array" ref="N23">_xlfn.IFS(E23="MOLINOS CHAMPION S.F",42,E23="PROPALCOL",42,E23="MASTERTEC",42,E23="GANADERIA OVIA",42,E23="ENGORDE",40,E23="DESCARTES",40,E23="REPRODUCTORA",10,E23="BAJO PESO",40,E23="CHICKENCORP",42)</f>
        <v>40</v>
      </c>
      <c r="O23" s="7">
        <f t="shared" si="0"/>
        <v>0.76976430809421059</v>
      </c>
      <c r="P23" s="4">
        <f t="shared" si="1"/>
        <v>75.601875000000007</v>
      </c>
      <c r="Q23" s="4">
        <f t="shared" si="2"/>
        <v>58.195625</v>
      </c>
      <c r="R23" s="7">
        <f t="shared" si="3"/>
        <v>0.16666666666666666</v>
      </c>
      <c r="S23" s="13">
        <v>32</v>
      </c>
      <c r="T23" s="11">
        <v>0.52083333333333337</v>
      </c>
      <c r="U23" s="11">
        <v>0.79166666666666663</v>
      </c>
      <c r="V23" s="12"/>
      <c r="W23" s="12"/>
      <c r="X23" s="14"/>
      <c r="Y23" s="2">
        <f t="shared" si="4"/>
        <v>0</v>
      </c>
      <c r="Z23" s="2"/>
      <c r="AA23" s="2">
        <f t="shared" si="5"/>
        <v>6</v>
      </c>
      <c r="AB23" s="8">
        <f t="shared" si="6"/>
        <v>6.5</v>
      </c>
      <c r="AC23" s="8">
        <f t="shared" si="7"/>
        <v>0.5</v>
      </c>
      <c r="AD23" s="10">
        <f t="shared" si="8"/>
        <v>36.92307692307692</v>
      </c>
      <c r="AE23" s="2">
        <f t="shared" si="9"/>
        <v>67.150000000000006</v>
      </c>
      <c r="AF23" s="9">
        <f t="shared" si="10"/>
        <v>0.91666666666666663</v>
      </c>
      <c r="AG23" s="9">
        <f t="shared" si="11"/>
        <v>0.92307692307692302</v>
      </c>
      <c r="AH23" s="70">
        <f t="shared" si="12"/>
        <v>0.141025641025641</v>
      </c>
    </row>
    <row r="24" spans="1:35" customFormat="1" ht="16.149999999999999" customHeight="1" x14ac:dyDescent="0.25">
      <c r="A24" s="2">
        <v>6</v>
      </c>
      <c r="B24" s="3">
        <v>46059</v>
      </c>
      <c r="C24" s="1" t="s">
        <v>34</v>
      </c>
      <c r="D24" s="1">
        <v>274</v>
      </c>
      <c r="E24" s="4" t="s">
        <v>37</v>
      </c>
      <c r="F24" s="16" t="s">
        <v>36</v>
      </c>
      <c r="G24" s="4">
        <v>10843.9</v>
      </c>
      <c r="H24" s="4">
        <v>8849.15</v>
      </c>
      <c r="I24" s="4">
        <v>100</v>
      </c>
      <c r="J24" s="16">
        <v>56</v>
      </c>
      <c r="K24" s="4"/>
      <c r="L24" s="16"/>
      <c r="M24" s="4"/>
      <c r="N24" s="4" cm="1">
        <f t="array" ref="N24">_xlfn.IFS(E24="MOLINOS CHAMPION S.F",42,E24="PROPALCOL",42,E24="MASTERTEC",42,E24="GANADERIA OVIA",42,E24="ENGORDE",40,E24="DESCARTES",40,E24="REPRODUCTORA",10,E24="BAJO PESO",40,E24="CHICKENCORP",42)</f>
        <v>40</v>
      </c>
      <c r="O24" s="7">
        <f t="shared" si="0"/>
        <v>0.81604865408201843</v>
      </c>
      <c r="P24" s="4">
        <f t="shared" si="1"/>
        <v>108.43899999999999</v>
      </c>
      <c r="Q24" s="4">
        <f t="shared" si="2"/>
        <v>88.491500000000002</v>
      </c>
      <c r="R24" s="7">
        <f t="shared" si="3"/>
        <v>0.44</v>
      </c>
      <c r="S24" s="13">
        <v>30</v>
      </c>
      <c r="T24" s="11">
        <v>0.63194444444444442</v>
      </c>
      <c r="U24" s="11">
        <v>0.74097222222222225</v>
      </c>
      <c r="V24" s="12"/>
      <c r="W24" s="12"/>
      <c r="X24" s="14"/>
      <c r="Y24" s="2">
        <f t="shared" si="4"/>
        <v>0</v>
      </c>
      <c r="Z24" s="2">
        <v>1</v>
      </c>
      <c r="AA24" s="2">
        <f t="shared" si="5"/>
        <v>2.5</v>
      </c>
      <c r="AB24" s="8">
        <f t="shared" si="6"/>
        <v>1.6166666666666667</v>
      </c>
      <c r="AC24" s="8">
        <f t="shared" si="7"/>
        <v>0</v>
      </c>
      <c r="AD24" s="10">
        <f t="shared" si="8"/>
        <v>61.855670103092784</v>
      </c>
      <c r="AE24" s="2">
        <f t="shared" si="9"/>
        <v>182.46</v>
      </c>
      <c r="AF24" s="9">
        <f t="shared" si="10"/>
        <v>1</v>
      </c>
      <c r="AG24" s="9">
        <f t="shared" si="11"/>
        <v>1</v>
      </c>
      <c r="AH24" s="70">
        <f t="shared" si="12"/>
        <v>0.44</v>
      </c>
    </row>
    <row r="25" spans="1:35" customFormat="1" ht="16.149999999999999" customHeight="1" x14ac:dyDescent="0.25">
      <c r="A25" s="2">
        <v>6</v>
      </c>
      <c r="B25" s="3">
        <v>46060</v>
      </c>
      <c r="C25" s="17" t="s">
        <v>34</v>
      </c>
      <c r="D25" s="18"/>
      <c r="E25" s="19" t="s">
        <v>41</v>
      </c>
      <c r="F25" s="16" t="s">
        <v>36</v>
      </c>
      <c r="G25" s="4">
        <v>18061.5</v>
      </c>
      <c r="H25" s="4">
        <v>14354.15</v>
      </c>
      <c r="I25" s="4">
        <v>209</v>
      </c>
      <c r="J25" s="16">
        <v>150</v>
      </c>
      <c r="K25" s="4"/>
      <c r="L25" s="16"/>
      <c r="M25" s="4"/>
      <c r="N25" s="4" cm="1">
        <f t="array" ref="N25">_xlfn.IFS(E25="MOLINOS CHAMPION S.F",42,E25="PROPALCOL",42,E25="MASTERTEC",42,E25="GANADERIA OVIA",42,E25="ENGORDE",40,E25="DESCARTES",40,E25="REPRODUCTORA",10,E25="BAJO PESO",40,E25="CHICKENCORP",42)</f>
        <v>40</v>
      </c>
      <c r="O25" s="7">
        <f t="shared" si="0"/>
        <v>0.79473742490933752</v>
      </c>
      <c r="P25" s="4">
        <f t="shared" si="1"/>
        <v>86.418660287081337</v>
      </c>
      <c r="Q25" s="4">
        <f t="shared" si="2"/>
        <v>68.68014354066986</v>
      </c>
      <c r="R25" s="7">
        <f t="shared" si="3"/>
        <v>0.28229665071770332</v>
      </c>
      <c r="S25" s="13">
        <v>39</v>
      </c>
      <c r="T25" s="11">
        <v>0.3125</v>
      </c>
      <c r="U25" s="11">
        <v>0.54791666666666672</v>
      </c>
      <c r="V25" s="12"/>
      <c r="W25" s="12"/>
      <c r="X25" s="14"/>
      <c r="Y25" s="2">
        <f t="shared" si="4"/>
        <v>0</v>
      </c>
      <c r="Z25" s="2"/>
      <c r="AA25" s="2">
        <f t="shared" si="5"/>
        <v>5.2249999999999996</v>
      </c>
      <c r="AB25" s="8">
        <f t="shared" si="6"/>
        <v>5.65</v>
      </c>
      <c r="AC25" s="8">
        <f t="shared" si="7"/>
        <v>0.42500000000000071</v>
      </c>
      <c r="AD25" s="10">
        <f t="shared" si="8"/>
        <v>36.991150442477874</v>
      </c>
      <c r="AE25" s="2">
        <f t="shared" si="9"/>
        <v>65.14</v>
      </c>
      <c r="AF25" s="9">
        <f t="shared" si="10"/>
        <v>0.91866028708133962</v>
      </c>
      <c r="AG25" s="9">
        <f t="shared" si="11"/>
        <v>0.9247787610619469</v>
      </c>
      <c r="AH25" s="70">
        <f t="shared" si="12"/>
        <v>0.23982724308760631</v>
      </c>
    </row>
    <row r="26" spans="1:35" customFormat="1" ht="16.149999999999999" customHeight="1" x14ac:dyDescent="0.25">
      <c r="A26" s="2">
        <v>7</v>
      </c>
      <c r="B26" s="3">
        <v>46062</v>
      </c>
      <c r="C26" s="1" t="s">
        <v>34</v>
      </c>
      <c r="D26" s="1">
        <v>5470</v>
      </c>
      <c r="E26" s="4" t="s">
        <v>35</v>
      </c>
      <c r="F26" s="5" t="s">
        <v>36</v>
      </c>
      <c r="G26" s="4">
        <v>6247.8999999999969</v>
      </c>
      <c r="H26" s="4">
        <v>4663.7999999999984</v>
      </c>
      <c r="I26" s="4">
        <v>60</v>
      </c>
      <c r="J26" s="16"/>
      <c r="K26" s="4"/>
      <c r="L26" s="16"/>
      <c r="M26" s="4"/>
      <c r="N26" s="4" cm="1">
        <f t="array" ref="N26">_xlfn.IFS(E26="MOLINOS CHAMPION S.F",42,E26="PROPALCOL",42,E26="MASTERTEC",42,E26="GANADERIA OVIA",42,E26="ENGORDE",40,E26="DESCARTES",40,E26="REPRODUCTORA",10,E26="BAJO PESO",40,E26="CHICKENCORP",42)</f>
        <v>42</v>
      </c>
      <c r="O26" s="7">
        <f t="shared" si="0"/>
        <v>0.74645881016021398</v>
      </c>
      <c r="P26" s="4">
        <f t="shared" si="1"/>
        <v>104.13166666666662</v>
      </c>
      <c r="Q26" s="4">
        <f t="shared" si="2"/>
        <v>77.729999999999976</v>
      </c>
      <c r="R26" s="7">
        <f t="shared" si="3"/>
        <v>1</v>
      </c>
      <c r="S26" s="13">
        <v>38</v>
      </c>
      <c r="T26" s="11">
        <v>0.29166666666666669</v>
      </c>
      <c r="U26" s="11">
        <v>0.36805555555555558</v>
      </c>
      <c r="V26" s="12"/>
      <c r="W26" s="12"/>
      <c r="X26" s="14"/>
      <c r="Y26" s="2">
        <f t="shared" si="4"/>
        <v>0</v>
      </c>
      <c r="Z26" s="2"/>
      <c r="AA26" s="2">
        <f t="shared" si="5"/>
        <v>1.4285714285714286</v>
      </c>
      <c r="AB26" s="8">
        <f t="shared" si="6"/>
        <v>1.8333333333333335</v>
      </c>
      <c r="AC26" s="8">
        <f t="shared" si="7"/>
        <v>0.40476190476190488</v>
      </c>
      <c r="AD26" s="10">
        <f t="shared" si="8"/>
        <v>32.727272727272727</v>
      </c>
      <c r="AE26" s="2">
        <f t="shared" si="9"/>
        <v>66.94</v>
      </c>
      <c r="AF26" s="9">
        <f t="shared" si="10"/>
        <v>0.71666666666666656</v>
      </c>
      <c r="AG26" s="9">
        <f t="shared" si="11"/>
        <v>0.77922077922077926</v>
      </c>
      <c r="AH26" s="70">
        <f t="shared" si="12"/>
        <v>0.55844155844155841</v>
      </c>
    </row>
    <row r="27" spans="1:35" customFormat="1" ht="16.149999999999999" customHeight="1" x14ac:dyDescent="0.25">
      <c r="A27" s="2">
        <v>7</v>
      </c>
      <c r="B27" s="3">
        <v>46062</v>
      </c>
      <c r="C27" s="1" t="s">
        <v>34</v>
      </c>
      <c r="D27" s="1">
        <v>274</v>
      </c>
      <c r="E27" s="4" t="s">
        <v>37</v>
      </c>
      <c r="F27" s="5" t="s">
        <v>36</v>
      </c>
      <c r="G27" s="4">
        <v>21099.3</v>
      </c>
      <c r="H27" s="4">
        <v>17124.75</v>
      </c>
      <c r="I27" s="4">
        <v>180</v>
      </c>
      <c r="J27" s="16"/>
      <c r="K27" s="4"/>
      <c r="L27" s="16"/>
      <c r="M27" s="4"/>
      <c r="N27" s="4" cm="1">
        <f t="array" ref="N27">_xlfn.IFS(E27="MOLINOS CHAMPION S.F",42,E27="PROPALCOL",42,E27="MASTERTEC",42,E27="GANADERIA OVIA",42,E27="ENGORDE",40,E27="DESCARTES",40,E27="REPRODUCTORA",10,E27="BAJO PESO",40,E27="CHICKENCORP",42)</f>
        <v>40</v>
      </c>
      <c r="O27" s="7">
        <f t="shared" si="0"/>
        <v>0.8116264520623907</v>
      </c>
      <c r="P27" s="4">
        <f t="shared" si="1"/>
        <v>117.21833333333333</v>
      </c>
      <c r="Q27" s="4">
        <f t="shared" si="2"/>
        <v>95.137500000000003</v>
      </c>
      <c r="R27" s="7">
        <f t="shared" si="3"/>
        <v>1</v>
      </c>
      <c r="S27" s="13">
        <v>38</v>
      </c>
      <c r="T27" s="11">
        <v>0.34375</v>
      </c>
      <c r="U27" s="11">
        <v>0.63402777777777775</v>
      </c>
      <c r="V27" s="12"/>
      <c r="W27" s="12"/>
      <c r="X27" s="14"/>
      <c r="Y27" s="2">
        <f t="shared" si="4"/>
        <v>0</v>
      </c>
      <c r="Z27" s="2">
        <v>1</v>
      </c>
      <c r="AA27" s="2">
        <f t="shared" si="5"/>
        <v>4.5</v>
      </c>
      <c r="AB27" s="8">
        <f t="shared" si="6"/>
        <v>5.9666666666666668</v>
      </c>
      <c r="AC27" s="8">
        <f t="shared" si="7"/>
        <v>1.4666666666666668</v>
      </c>
      <c r="AD27" s="10">
        <f t="shared" si="8"/>
        <v>30.167597765363126</v>
      </c>
      <c r="AE27" s="2">
        <f t="shared" si="9"/>
        <v>75.53</v>
      </c>
      <c r="AF27" s="9">
        <f t="shared" si="10"/>
        <v>0.67407407407407405</v>
      </c>
      <c r="AG27" s="9">
        <f t="shared" si="11"/>
        <v>0.75418994413407814</v>
      </c>
      <c r="AH27" s="70">
        <f t="shared" si="12"/>
        <v>0.50837988826815639</v>
      </c>
    </row>
    <row r="28" spans="1:35" customFormat="1" ht="16.149999999999999" customHeight="1" x14ac:dyDescent="0.25">
      <c r="A28" s="2">
        <v>7</v>
      </c>
      <c r="B28" s="3">
        <v>46062</v>
      </c>
      <c r="C28" s="17" t="s">
        <v>34</v>
      </c>
      <c r="D28" s="18"/>
      <c r="E28" s="19" t="s">
        <v>41</v>
      </c>
      <c r="F28" s="20" t="s">
        <v>36</v>
      </c>
      <c r="G28" s="4">
        <v>5973.25</v>
      </c>
      <c r="H28" s="4">
        <v>4606.8500000000004</v>
      </c>
      <c r="I28" s="4">
        <v>69</v>
      </c>
      <c r="J28" s="16"/>
      <c r="K28" s="4"/>
      <c r="L28" s="16"/>
      <c r="M28" s="4"/>
      <c r="N28" s="4" cm="1">
        <f t="array" ref="N28">_xlfn.IFS(E28="MOLINOS CHAMPION S.F",42,E28="PROPALCOL",42,E28="MASTERTEC",42,E28="GANADERIA OVIA",42,E28="ENGORDE",40,E28="DESCARTES",40,E28="REPRODUCTORA",10,E28="BAJO PESO",40,E28="CHICKENCORP",42)</f>
        <v>40</v>
      </c>
      <c r="O28" s="7">
        <f t="shared" si="0"/>
        <v>0.7712468086887373</v>
      </c>
      <c r="P28" s="4">
        <f t="shared" si="1"/>
        <v>86.568840579710141</v>
      </c>
      <c r="Q28" s="4">
        <f t="shared" si="2"/>
        <v>66.765942028985506</v>
      </c>
      <c r="R28" s="7">
        <f t="shared" si="3"/>
        <v>1</v>
      </c>
      <c r="S28" s="13">
        <v>38</v>
      </c>
      <c r="T28" s="11">
        <v>0.34375</v>
      </c>
      <c r="U28" s="11">
        <v>0.63402777777777775</v>
      </c>
      <c r="V28" s="12"/>
      <c r="W28" s="12"/>
      <c r="X28" s="2"/>
      <c r="Y28" s="2">
        <f t="shared" si="4"/>
        <v>0</v>
      </c>
      <c r="Z28" s="2"/>
      <c r="AA28" s="2">
        <f t="shared" si="5"/>
        <v>1.7250000000000001</v>
      </c>
      <c r="AB28" s="8">
        <f t="shared" si="6"/>
        <v>6.9666666666666668</v>
      </c>
      <c r="AC28" s="8">
        <f t="shared" si="7"/>
        <v>5.2416666666666671</v>
      </c>
      <c r="AD28" s="10">
        <f t="shared" si="8"/>
        <v>9.9043062200956928</v>
      </c>
      <c r="AE28" s="2">
        <f t="shared" si="9"/>
        <v>17.399999999999999</v>
      </c>
      <c r="AF28" s="9">
        <f t="shared" si="10"/>
        <v>0</v>
      </c>
      <c r="AG28" s="9">
        <f t="shared" si="11"/>
        <v>0.24760765550239233</v>
      </c>
      <c r="AH28" s="70">
        <f t="shared" si="12"/>
        <v>0</v>
      </c>
    </row>
    <row r="29" spans="1:35" x14ac:dyDescent="0.25">
      <c r="A29" s="2">
        <v>7</v>
      </c>
      <c r="B29" s="3">
        <v>46063</v>
      </c>
      <c r="C29" s="1" t="s">
        <v>34</v>
      </c>
      <c r="D29" s="1">
        <v>5470</v>
      </c>
      <c r="E29" s="4" t="s">
        <v>35</v>
      </c>
      <c r="F29" s="5" t="s">
        <v>36</v>
      </c>
      <c r="G29" s="4">
        <v>6812.6500000000024</v>
      </c>
      <c r="H29" s="4">
        <v>5303.5000000000009</v>
      </c>
      <c r="I29" s="4">
        <v>60</v>
      </c>
      <c r="J29" s="16"/>
      <c r="K29" s="4"/>
      <c r="L29" s="16"/>
      <c r="M29" s="4"/>
      <c r="N29" s="4" cm="1">
        <f t="array" ref="N29">_xlfn.IFS(E29="MOLINOS CHAMPION S.F",42,E29="PROPALCOL",42,E29="MASTERTEC",42,E29="GANADERIA OVIA",42,E29="ENGORDE",40,E29="DESCARTES",40,E29="REPRODUCTORA",10,E29="BAJO PESO",40,E29="CHICKENCORP",42)</f>
        <v>42</v>
      </c>
      <c r="O29" s="7">
        <f t="shared" si="0"/>
        <v>0.77847827203804676</v>
      </c>
      <c r="P29" s="4">
        <f t="shared" si="1"/>
        <v>113.54416666666671</v>
      </c>
      <c r="Q29" s="4">
        <f t="shared" si="2"/>
        <v>88.39166666666668</v>
      </c>
      <c r="R29" s="7">
        <f t="shared" si="3"/>
        <v>1</v>
      </c>
      <c r="S29" s="13">
        <v>36</v>
      </c>
      <c r="T29" s="11">
        <v>0.29166666666666669</v>
      </c>
      <c r="U29" s="11">
        <v>0.37152777777777779</v>
      </c>
      <c r="V29" s="12"/>
      <c r="W29" s="12"/>
      <c r="X29" s="2"/>
      <c r="Y29" s="2">
        <f t="shared" si="4"/>
        <v>0</v>
      </c>
      <c r="Z29" s="2"/>
      <c r="AA29" s="2">
        <f t="shared" si="5"/>
        <v>1.4285714285714286</v>
      </c>
      <c r="AB29" s="8">
        <f t="shared" si="6"/>
        <v>1.9166666666666665</v>
      </c>
      <c r="AC29" s="8">
        <f t="shared" si="7"/>
        <v>0.48809523809523792</v>
      </c>
      <c r="AD29" s="10">
        <f t="shared" si="8"/>
        <v>31.304347826086961</v>
      </c>
      <c r="AE29" s="2">
        <f t="shared" si="9"/>
        <v>76.86</v>
      </c>
      <c r="AF29" s="9">
        <f t="shared" si="10"/>
        <v>0.65833333333333344</v>
      </c>
      <c r="AG29" s="9">
        <f t="shared" si="11"/>
        <v>0.74534161490683237</v>
      </c>
      <c r="AH29" s="70">
        <f t="shared" si="12"/>
        <v>0.49068322981366475</v>
      </c>
      <c r="AI29"/>
    </row>
    <row r="30" spans="1:35" x14ac:dyDescent="0.25">
      <c r="A30" s="2">
        <v>7</v>
      </c>
      <c r="B30" s="3">
        <v>46063</v>
      </c>
      <c r="C30" s="1" t="s">
        <v>34</v>
      </c>
      <c r="D30" s="1">
        <v>274</v>
      </c>
      <c r="E30" s="4" t="s">
        <v>37</v>
      </c>
      <c r="F30" s="5" t="s">
        <v>36</v>
      </c>
      <c r="G30" s="4">
        <v>22614.15</v>
      </c>
      <c r="H30" s="4">
        <v>18372.349999999999</v>
      </c>
      <c r="I30" s="4">
        <v>203</v>
      </c>
      <c r="J30" s="16"/>
      <c r="K30" s="4"/>
      <c r="L30" s="16"/>
      <c r="M30" s="4"/>
      <c r="N30" s="4" cm="1">
        <f t="array" ref="N30">_xlfn.IFS(E30="MOLINOS CHAMPION S.F",42,E30="PROPALCOL",42,E30="MASTERTEC",42,E30="GANADERIA OVIA",42,E30="ENGORDE",40,E30="DESCARTES",40,E30="REPRODUCTORA",10,E30="BAJO PESO",40,E30="CHICKENCORP",42)</f>
        <v>40</v>
      </c>
      <c r="O30" s="7">
        <f t="shared" si="0"/>
        <v>0.81242717502094919</v>
      </c>
      <c r="P30" s="4">
        <f t="shared" si="1"/>
        <v>111.39975369458129</v>
      </c>
      <c r="Q30" s="4">
        <f t="shared" si="2"/>
        <v>90.504187192118223</v>
      </c>
      <c r="R30" s="7">
        <f t="shared" si="3"/>
        <v>1</v>
      </c>
      <c r="S30" s="13">
        <v>36</v>
      </c>
      <c r="T30" s="11">
        <v>0.35069444444444442</v>
      </c>
      <c r="U30" s="11">
        <v>0.75694444444444442</v>
      </c>
      <c r="V30" s="12"/>
      <c r="W30" s="12"/>
      <c r="X30" s="2"/>
      <c r="Y30" s="2">
        <f t="shared" si="4"/>
        <v>0</v>
      </c>
      <c r="Z30" s="2">
        <v>1</v>
      </c>
      <c r="AA30" s="2">
        <f t="shared" si="5"/>
        <v>5.0750000000000002</v>
      </c>
      <c r="AB30" s="8">
        <f t="shared" si="6"/>
        <v>8.75</v>
      </c>
      <c r="AC30" s="8">
        <f t="shared" si="7"/>
        <v>3.6749999999999998</v>
      </c>
      <c r="AD30" s="10">
        <f t="shared" si="8"/>
        <v>23.2</v>
      </c>
      <c r="AE30" s="2">
        <f t="shared" si="9"/>
        <v>58.32</v>
      </c>
      <c r="AF30" s="9">
        <f t="shared" si="10"/>
        <v>0.27586206896551729</v>
      </c>
      <c r="AG30" s="9">
        <f t="shared" si="11"/>
        <v>0.57999999999999996</v>
      </c>
      <c r="AH30" s="70">
        <f t="shared" si="12"/>
        <v>0.16000000000000003</v>
      </c>
      <c r="AI30"/>
    </row>
    <row r="31" spans="1:35" x14ac:dyDescent="0.25">
      <c r="A31" s="2">
        <v>7</v>
      </c>
      <c r="B31" s="3">
        <v>46063</v>
      </c>
      <c r="C31" s="1" t="s">
        <v>38</v>
      </c>
      <c r="D31" s="6"/>
      <c r="E31" s="4" t="s">
        <v>39</v>
      </c>
      <c r="F31" s="5" t="s">
        <v>42</v>
      </c>
      <c r="G31" s="4">
        <v>3726.45</v>
      </c>
      <c r="H31" s="4">
        <v>2866.9000000000005</v>
      </c>
      <c r="I31" s="4">
        <v>17</v>
      </c>
      <c r="J31" s="16"/>
      <c r="K31" s="4"/>
      <c r="L31" s="16"/>
      <c r="M31" s="4"/>
      <c r="N31" s="4" cm="1">
        <f t="array" ref="N31">_xlfn.IFS(E31="MOLINOS CHAMPION S.F",42,E31="PROPALCOL",42,E31="MASTERTEC",42,E31="GANADERIA OVIA",42,E31="ENGORDE",40,E31="DESCARTES",40,E31="REPRODUCTORA",10,E31="BAJO PESO",40,E31="CHICKENCORP",42)</f>
        <v>10</v>
      </c>
      <c r="O31" s="7">
        <f t="shared" si="0"/>
        <v>0.76933810999745089</v>
      </c>
      <c r="P31" s="4">
        <f t="shared" si="1"/>
        <v>219.20294117647057</v>
      </c>
      <c r="Q31" s="4">
        <f t="shared" si="2"/>
        <v>168.64117647058828</v>
      </c>
      <c r="R31" s="7">
        <f t="shared" si="3"/>
        <v>1</v>
      </c>
      <c r="S31" s="13">
        <v>36</v>
      </c>
      <c r="T31" s="11">
        <v>0.64930555555555558</v>
      </c>
      <c r="U31" s="11">
        <v>0.72222222222222221</v>
      </c>
      <c r="V31" s="12"/>
      <c r="W31" s="12"/>
      <c r="X31" s="2"/>
      <c r="Y31" s="2">
        <f t="shared" si="4"/>
        <v>0</v>
      </c>
      <c r="Z31" s="2"/>
      <c r="AA31" s="2">
        <f t="shared" si="5"/>
        <v>1.7</v>
      </c>
      <c r="AB31" s="8">
        <f t="shared" si="6"/>
        <v>1.75</v>
      </c>
      <c r="AC31" s="8">
        <f t="shared" si="7"/>
        <v>5.0000000000000044E-2</v>
      </c>
      <c r="AD31" s="10">
        <f t="shared" si="8"/>
        <v>9.7142857142857135</v>
      </c>
      <c r="AE31" s="2">
        <f t="shared" si="9"/>
        <v>45.51</v>
      </c>
      <c r="AF31" s="9">
        <f t="shared" si="10"/>
        <v>0.97058823529411764</v>
      </c>
      <c r="AG31" s="9">
        <f t="shared" si="11"/>
        <v>0.97142857142857131</v>
      </c>
      <c r="AH31" s="70">
        <f t="shared" si="12"/>
        <v>0.94285714285714273</v>
      </c>
      <c r="AI31"/>
    </row>
    <row r="32" spans="1:35" x14ac:dyDescent="0.25">
      <c r="A32" s="2">
        <v>7</v>
      </c>
      <c r="B32" s="3">
        <v>46063</v>
      </c>
      <c r="C32" s="17" t="s">
        <v>34</v>
      </c>
      <c r="D32" s="18"/>
      <c r="E32" s="19" t="s">
        <v>41</v>
      </c>
      <c r="F32" s="20" t="s">
        <v>36</v>
      </c>
      <c r="G32" s="4">
        <v>10866.45</v>
      </c>
      <c r="H32" s="4">
        <v>8702.85</v>
      </c>
      <c r="I32" s="4">
        <v>115</v>
      </c>
      <c r="J32" s="16"/>
      <c r="K32" s="4"/>
      <c r="L32" s="16"/>
      <c r="M32" s="4"/>
      <c r="N32" s="4" cm="1">
        <f t="array" ref="N32">_xlfn.IFS(E32="MOLINOS CHAMPION S.F",42,E32="PROPALCOL",42,E32="MASTERTEC",42,E32="GANADERIA OVIA",42,E32="ENGORDE",40,E32="DESCARTES",40,E32="REPRODUCTORA",10,E32="BAJO PESO",40,E32="CHICKENCORP",42)</f>
        <v>40</v>
      </c>
      <c r="O32" s="7">
        <f t="shared" si="0"/>
        <v>0.8008917355714148</v>
      </c>
      <c r="P32" s="4">
        <f t="shared" si="1"/>
        <v>94.490869565217395</v>
      </c>
      <c r="Q32" s="4">
        <f t="shared" si="2"/>
        <v>75.676956521739129</v>
      </c>
      <c r="R32" s="7">
        <f t="shared" si="3"/>
        <v>1</v>
      </c>
      <c r="S32" s="13">
        <v>36</v>
      </c>
      <c r="T32" s="11">
        <v>0.64930555555555558</v>
      </c>
      <c r="U32" s="11">
        <v>0.72222222222222221</v>
      </c>
      <c r="V32" s="12"/>
      <c r="W32" s="12"/>
      <c r="X32" s="2"/>
      <c r="Y32" s="2">
        <f t="shared" si="4"/>
        <v>0</v>
      </c>
      <c r="Z32" s="2"/>
      <c r="AA32" s="2">
        <f t="shared" si="5"/>
        <v>2.875</v>
      </c>
      <c r="AB32" s="8">
        <f t="shared" si="6"/>
        <v>1.75</v>
      </c>
      <c r="AC32" s="8">
        <f t="shared" si="7"/>
        <v>0</v>
      </c>
      <c r="AD32" s="10">
        <f t="shared" si="8"/>
        <v>65.714285714285708</v>
      </c>
      <c r="AE32" s="2">
        <f t="shared" si="9"/>
        <v>138.13999999999999</v>
      </c>
      <c r="AF32" s="9">
        <f t="shared" si="10"/>
        <v>1</v>
      </c>
      <c r="AG32" s="9">
        <f t="shared" si="11"/>
        <v>1</v>
      </c>
      <c r="AH32" s="70">
        <f t="shared" si="12"/>
        <v>1</v>
      </c>
      <c r="AI32"/>
    </row>
    <row r="33" spans="1:35" x14ac:dyDescent="0.25">
      <c r="A33" s="2">
        <v>7</v>
      </c>
      <c r="B33" s="3">
        <v>46064</v>
      </c>
      <c r="C33" s="1" t="s">
        <v>34</v>
      </c>
      <c r="D33" s="1">
        <v>5470</v>
      </c>
      <c r="E33" s="4" t="s">
        <v>35</v>
      </c>
      <c r="F33" s="5" t="s">
        <v>36</v>
      </c>
      <c r="G33" s="4">
        <v>6848.85</v>
      </c>
      <c r="H33" s="4">
        <v>5287.1999999999989</v>
      </c>
      <c r="I33" s="4">
        <v>60</v>
      </c>
      <c r="J33" s="16"/>
      <c r="K33" s="4"/>
      <c r="L33" s="16"/>
      <c r="M33" s="4"/>
      <c r="N33" s="4" cm="1">
        <f t="array" ref="N33">_xlfn.IFS(E33="MOLINOS CHAMPION S.F",42,E33="PROPALCOL",42,E33="MASTERTEC",42,E33="GANADERIA OVIA",42,E33="ENGORDE",40,E33="DESCARTES",40,E33="REPRODUCTORA",10,E33="BAJO PESO",40,E33="CHICKENCORP",42)</f>
        <v>42</v>
      </c>
      <c r="O33" s="7">
        <f t="shared" si="0"/>
        <v>0.77198361768764079</v>
      </c>
      <c r="P33" s="4">
        <f t="shared" si="1"/>
        <v>114.14750000000001</v>
      </c>
      <c r="Q33" s="4">
        <f t="shared" si="2"/>
        <v>88.119999999999976</v>
      </c>
      <c r="R33" s="7">
        <f t="shared" si="3"/>
        <v>1</v>
      </c>
      <c r="S33" s="13">
        <v>36</v>
      </c>
      <c r="T33" s="11">
        <v>0.2986111111111111</v>
      </c>
      <c r="U33" s="11">
        <v>0.37847222222222221</v>
      </c>
      <c r="V33" s="12"/>
      <c r="W33" s="12"/>
      <c r="X33" s="2"/>
      <c r="Y33" s="2">
        <f t="shared" si="4"/>
        <v>0</v>
      </c>
      <c r="Z33" s="2"/>
      <c r="AA33" s="2">
        <f t="shared" si="5"/>
        <v>1.4285714285714286</v>
      </c>
      <c r="AB33" s="8">
        <f t="shared" si="6"/>
        <v>1.9166666666666665</v>
      </c>
      <c r="AC33" s="8">
        <f t="shared" si="7"/>
        <v>0.48809523809523792</v>
      </c>
      <c r="AD33" s="10">
        <f t="shared" si="8"/>
        <v>31.304347826086961</v>
      </c>
      <c r="AE33" s="2">
        <f t="shared" si="9"/>
        <v>76.63</v>
      </c>
      <c r="AF33" s="9">
        <f t="shared" si="10"/>
        <v>0.65833333333333344</v>
      </c>
      <c r="AG33" s="9">
        <f t="shared" si="11"/>
        <v>0.74534161490683237</v>
      </c>
      <c r="AH33" s="70">
        <f t="shared" si="12"/>
        <v>0.49068322981366475</v>
      </c>
      <c r="AI33"/>
    </row>
    <row r="34" spans="1:35" x14ac:dyDescent="0.25">
      <c r="A34" s="2">
        <v>7</v>
      </c>
      <c r="B34" s="3">
        <v>46064</v>
      </c>
      <c r="C34" s="17" t="s">
        <v>34</v>
      </c>
      <c r="D34" s="17">
        <v>274</v>
      </c>
      <c r="E34" s="19" t="s">
        <v>37</v>
      </c>
      <c r="F34" s="20" t="s">
        <v>36</v>
      </c>
      <c r="G34" s="19">
        <v>23914.05</v>
      </c>
      <c r="H34" s="4">
        <v>19320.650000000001</v>
      </c>
      <c r="I34" s="4">
        <v>216</v>
      </c>
      <c r="J34" s="16"/>
      <c r="K34" s="4"/>
      <c r="L34" s="16"/>
      <c r="M34" s="4"/>
      <c r="N34" s="4" cm="1">
        <f t="array" ref="N34">_xlfn.IFS(E34="MOLINOS CHAMPION S.F",42,E34="PROPALCOL",42,E34="MASTERTEC",42,E34="GANADERIA OVIA",42,E34="ENGORDE",40,E34="DESCARTES",40,E34="REPRODUCTORA",10,E34="BAJO PESO",40,E34="CHICKENCORP",42)</f>
        <v>40</v>
      </c>
      <c r="O34" s="7">
        <f t="shared" si="0"/>
        <v>0.80792044843930666</v>
      </c>
      <c r="P34" s="4">
        <f t="shared" si="1"/>
        <v>110.71319444444444</v>
      </c>
      <c r="Q34" s="4">
        <f t="shared" si="2"/>
        <v>89.447453703703715</v>
      </c>
      <c r="R34" s="7">
        <f t="shared" si="3"/>
        <v>1</v>
      </c>
      <c r="S34" s="13">
        <v>36</v>
      </c>
      <c r="T34" s="11">
        <v>0.3576388888888889</v>
      </c>
      <c r="U34" s="11">
        <v>0.71527777777777779</v>
      </c>
      <c r="V34" s="12"/>
      <c r="W34" s="12"/>
      <c r="X34" s="2"/>
      <c r="Y34" s="2">
        <f t="shared" si="4"/>
        <v>0</v>
      </c>
      <c r="Z34" s="2">
        <v>1</v>
      </c>
      <c r="AA34" s="2">
        <f t="shared" si="5"/>
        <v>5.4</v>
      </c>
      <c r="AB34" s="8">
        <f t="shared" ref="AB34:AB65" si="13">(HOUR(U34-T34)+MINUTE(U34-T34)/60)-Z34-Y34</f>
        <v>7.5833333333333339</v>
      </c>
      <c r="AC34" s="8">
        <f t="shared" si="7"/>
        <v>2.1833333333333336</v>
      </c>
      <c r="AD34" s="10">
        <f t="shared" si="8"/>
        <v>28.483516483516482</v>
      </c>
      <c r="AE34" s="2">
        <f t="shared" si="9"/>
        <v>70.77</v>
      </c>
      <c r="AF34" s="9">
        <f t="shared" si="10"/>
        <v>0.59567901234567899</v>
      </c>
      <c r="AG34" s="9">
        <f t="shared" si="11"/>
        <v>0.712087912087912</v>
      </c>
      <c r="AH34" s="70">
        <f t="shared" si="12"/>
        <v>0.42417582417582411</v>
      </c>
      <c r="AI34"/>
    </row>
    <row r="35" spans="1:35" x14ac:dyDescent="0.25">
      <c r="A35" s="2">
        <v>7</v>
      </c>
      <c r="B35" s="3">
        <v>46064</v>
      </c>
      <c r="C35" s="1" t="s">
        <v>34</v>
      </c>
      <c r="D35" s="6"/>
      <c r="E35" s="4" t="s">
        <v>41</v>
      </c>
      <c r="F35" s="16" t="s">
        <v>36</v>
      </c>
      <c r="G35" s="4">
        <v>10783.05</v>
      </c>
      <c r="H35" s="4">
        <v>8492.4500000000007</v>
      </c>
      <c r="I35" s="4">
        <v>112</v>
      </c>
      <c r="J35" s="16"/>
      <c r="K35" s="4"/>
      <c r="L35" s="16"/>
      <c r="M35" s="4"/>
      <c r="N35" s="4" cm="1">
        <f t="array" ref="N35">_xlfn.IFS(E35="MOLINOS CHAMPION S.F",42,E35="PROPALCOL",42,E35="MASTERTEC",42,E35="GANADERIA OVIA",42,E35="ENGORDE",40,E35="DESCARTES",40,E35="REPRODUCTORA",10,E35="BAJO PESO",40,E35="CHICKENCORP",42)</f>
        <v>40</v>
      </c>
      <c r="O35" s="7">
        <f t="shared" si="0"/>
        <v>0.78757401662794857</v>
      </c>
      <c r="P35" s="4">
        <f t="shared" si="1"/>
        <v>96.27723214285713</v>
      </c>
      <c r="Q35" s="4">
        <f t="shared" si="2"/>
        <v>75.825446428571439</v>
      </c>
      <c r="R35" s="7">
        <f t="shared" si="3"/>
        <v>1</v>
      </c>
      <c r="S35" s="13">
        <v>36</v>
      </c>
      <c r="T35" s="11">
        <v>0.59722222222222221</v>
      </c>
      <c r="U35" s="11">
        <v>0.73611111111111116</v>
      </c>
      <c r="V35" s="12"/>
      <c r="W35" s="12"/>
      <c r="X35" s="2"/>
      <c r="Y35" s="2">
        <f t="shared" si="4"/>
        <v>0</v>
      </c>
      <c r="Z35" s="2"/>
      <c r="AA35" s="2">
        <f t="shared" si="5"/>
        <v>2.8</v>
      </c>
      <c r="AB35" s="8">
        <f t="shared" si="13"/>
        <v>3.3333333333333335</v>
      </c>
      <c r="AC35" s="8">
        <f t="shared" si="7"/>
        <v>0.53333333333333366</v>
      </c>
      <c r="AD35" s="10">
        <f t="shared" si="8"/>
        <v>33.6</v>
      </c>
      <c r="AE35" s="2">
        <f t="shared" si="9"/>
        <v>70.77</v>
      </c>
      <c r="AF35" s="9">
        <f t="shared" si="10"/>
        <v>0.80952380952380942</v>
      </c>
      <c r="AG35" s="9">
        <f t="shared" si="11"/>
        <v>0.84000000000000008</v>
      </c>
      <c r="AH35" s="70">
        <f t="shared" si="12"/>
        <v>0.67999999999999994</v>
      </c>
      <c r="AI35"/>
    </row>
    <row r="36" spans="1:35" x14ac:dyDescent="0.25">
      <c r="A36" s="22">
        <v>7</v>
      </c>
      <c r="B36" s="3">
        <v>46065</v>
      </c>
      <c r="C36" s="17" t="s">
        <v>34</v>
      </c>
      <c r="D36" s="17">
        <v>274</v>
      </c>
      <c r="E36" s="19" t="s">
        <v>37</v>
      </c>
      <c r="F36" s="20" t="s">
        <v>36</v>
      </c>
      <c r="G36" s="22">
        <v>22827.1</v>
      </c>
      <c r="H36" s="22">
        <v>18262.25</v>
      </c>
      <c r="I36" s="22">
        <v>210</v>
      </c>
      <c r="J36" s="22"/>
      <c r="K36" s="22"/>
      <c r="L36" s="22"/>
      <c r="M36" s="22"/>
      <c r="N36" s="4" cm="1">
        <f t="array" ref="N36">_xlfn.IFS(E36="MOLINOS CHAMPION S.F",42,E36="PROPALCOL",42,E36="MASTERTEC",42,E36="GANADERIA OVIA",42,E36="ENGORDE",40,E36="DESCARTES",40,E36="REPRODUCTORA",10,E36="BAJO PESO",40,E36="CHICKENCORP",42)</f>
        <v>40</v>
      </c>
      <c r="O36" s="7">
        <f t="shared" si="0"/>
        <v>0.8000249703203649</v>
      </c>
      <c r="P36" s="4">
        <f t="shared" si="1"/>
        <v>108.70047619047618</v>
      </c>
      <c r="Q36" s="4">
        <f t="shared" si="2"/>
        <v>86.963095238095235</v>
      </c>
      <c r="R36" s="7">
        <f t="shared" si="3"/>
        <v>1</v>
      </c>
      <c r="S36" s="22">
        <v>35</v>
      </c>
      <c r="T36" s="23">
        <v>0.29166666666666669</v>
      </c>
      <c r="U36" s="23">
        <v>0.70486111111111116</v>
      </c>
      <c r="V36" s="12"/>
      <c r="W36" s="12"/>
      <c r="X36" s="2"/>
      <c r="Y36" s="2">
        <f t="shared" si="4"/>
        <v>0</v>
      </c>
      <c r="Z36" s="2">
        <v>1</v>
      </c>
      <c r="AA36" s="2">
        <f t="shared" si="5"/>
        <v>5.25</v>
      </c>
      <c r="AB36" s="8">
        <f t="shared" si="13"/>
        <v>8.9166666666666661</v>
      </c>
      <c r="AC36" s="8">
        <f t="shared" si="7"/>
        <v>3.6666666666666661</v>
      </c>
      <c r="AD36" s="10">
        <f t="shared" si="8"/>
        <v>23.55140186915888</v>
      </c>
      <c r="AE36" s="2">
        <f t="shared" si="9"/>
        <v>58.52</v>
      </c>
      <c r="AF36" s="9">
        <f t="shared" si="10"/>
        <v>0.30158730158730168</v>
      </c>
      <c r="AG36" s="9">
        <f t="shared" si="11"/>
        <v>0.58878504672897203</v>
      </c>
      <c r="AH36" s="70">
        <f t="shared" si="12"/>
        <v>0.177570093457944</v>
      </c>
      <c r="AI36"/>
    </row>
    <row r="37" spans="1:35" x14ac:dyDescent="0.25">
      <c r="A37" s="22">
        <v>7</v>
      </c>
      <c r="B37" s="3">
        <v>46065</v>
      </c>
      <c r="C37" s="1" t="s">
        <v>34</v>
      </c>
      <c r="D37" s="6"/>
      <c r="E37" s="4" t="s">
        <v>41</v>
      </c>
      <c r="F37" s="16" t="s">
        <v>36</v>
      </c>
      <c r="G37" s="22">
        <v>15591.25</v>
      </c>
      <c r="H37" s="22">
        <v>12223.9</v>
      </c>
      <c r="I37" s="22">
        <v>160</v>
      </c>
      <c r="J37" s="22"/>
      <c r="K37" s="22"/>
      <c r="L37" s="22"/>
      <c r="M37" s="22"/>
      <c r="N37" s="4" cm="1">
        <f t="array" ref="N37">_xlfn.IFS(E37="MOLINOS CHAMPION S.F",42,E37="PROPALCOL",42,E37="MASTERTEC",42,E37="GANADERIA OVIA",42,E37="ENGORDE",40,E37="DESCARTES",40,E37="REPRODUCTORA",10,E37="BAJO PESO",40,E37="CHICKENCORP",42)</f>
        <v>40</v>
      </c>
      <c r="O37" s="7">
        <f t="shared" si="0"/>
        <v>0.78402308987412805</v>
      </c>
      <c r="P37" s="4">
        <f t="shared" si="1"/>
        <v>97.4453125</v>
      </c>
      <c r="Q37" s="4">
        <f t="shared" si="2"/>
        <v>76.399374999999992</v>
      </c>
      <c r="R37" s="7">
        <f t="shared" si="3"/>
        <v>1</v>
      </c>
      <c r="S37" s="22">
        <v>35</v>
      </c>
      <c r="T37" s="23">
        <v>0.29166666666666669</v>
      </c>
      <c r="U37" s="23">
        <v>0.70486111111111116</v>
      </c>
      <c r="V37" s="12"/>
      <c r="W37" s="12"/>
      <c r="X37" s="2"/>
      <c r="Y37" s="2">
        <f t="shared" si="4"/>
        <v>0</v>
      </c>
      <c r="Z37" s="2"/>
      <c r="AA37" s="2">
        <f t="shared" si="5"/>
        <v>4</v>
      </c>
      <c r="AB37" s="8">
        <f t="shared" si="13"/>
        <v>9.9166666666666661</v>
      </c>
      <c r="AC37" s="8">
        <f t="shared" si="7"/>
        <v>5.9166666666666661</v>
      </c>
      <c r="AD37" s="10">
        <f t="shared" si="8"/>
        <v>16.134453781512605</v>
      </c>
      <c r="AE37" s="2">
        <f t="shared" si="9"/>
        <v>35.22</v>
      </c>
      <c r="AF37" s="9">
        <f t="shared" si="10"/>
        <v>0</v>
      </c>
      <c r="AG37" s="9">
        <f t="shared" si="11"/>
        <v>0.40336134453781514</v>
      </c>
      <c r="AH37" s="70">
        <f t="shared" si="12"/>
        <v>0</v>
      </c>
      <c r="AI37"/>
    </row>
    <row r="38" spans="1:35" x14ac:dyDescent="0.25">
      <c r="A38" s="22">
        <v>7</v>
      </c>
      <c r="B38" s="3">
        <v>46066</v>
      </c>
      <c r="C38" s="17" t="s">
        <v>34</v>
      </c>
      <c r="D38" s="17">
        <v>274</v>
      </c>
      <c r="E38" s="19" t="s">
        <v>37</v>
      </c>
      <c r="F38" s="20" t="s">
        <v>36</v>
      </c>
      <c r="G38" s="22">
        <v>11023.45</v>
      </c>
      <c r="H38" s="22">
        <v>8791.9000000000033</v>
      </c>
      <c r="I38" s="22">
        <v>105</v>
      </c>
      <c r="J38" s="22"/>
      <c r="K38" s="22"/>
      <c r="L38" s="22"/>
      <c r="M38" s="22"/>
      <c r="N38" s="4" cm="1">
        <f t="array" ref="N38">_xlfn.IFS(E38="MOLINOS CHAMPION S.F",42,E38="PROPALCOL",42,E38="MASTERTEC",42,E38="GANADERIA OVIA",42,E38="ENGORDE",40,E38="DESCARTES",40,E38="REPRODUCTORA",10,E38="BAJO PESO",40,E38="CHICKENCORP",42)</f>
        <v>40</v>
      </c>
      <c r="O38" s="7">
        <f t="shared" si="0"/>
        <v>0.79756337625697971</v>
      </c>
      <c r="P38" s="4">
        <f t="shared" si="1"/>
        <v>104.9852380952381</v>
      </c>
      <c r="Q38" s="4">
        <f t="shared" si="2"/>
        <v>83.732380952380979</v>
      </c>
      <c r="R38" s="7">
        <f t="shared" si="3"/>
        <v>1</v>
      </c>
      <c r="S38" s="22">
        <v>30</v>
      </c>
      <c r="T38" s="23">
        <v>0.58333333333333337</v>
      </c>
      <c r="U38" s="23">
        <v>0.70138888888888884</v>
      </c>
      <c r="V38" s="12"/>
      <c r="W38" s="12"/>
      <c r="X38" s="2"/>
      <c r="Y38" s="2">
        <f t="shared" si="4"/>
        <v>0</v>
      </c>
      <c r="Z38" s="2"/>
      <c r="AA38" s="2">
        <f t="shared" si="5"/>
        <v>2.625</v>
      </c>
      <c r="AB38" s="8">
        <f t="shared" si="13"/>
        <v>2.8333333333333335</v>
      </c>
      <c r="AC38" s="8">
        <f t="shared" si="7"/>
        <v>0.20833333333333348</v>
      </c>
      <c r="AD38" s="10">
        <f t="shared" si="8"/>
        <v>37.058823529411761</v>
      </c>
      <c r="AE38" s="2">
        <f t="shared" si="9"/>
        <v>103.43</v>
      </c>
      <c r="AF38" s="9">
        <f t="shared" si="10"/>
        <v>0.92063492063492058</v>
      </c>
      <c r="AG38" s="9">
        <f t="shared" si="11"/>
        <v>0.92647058823529405</v>
      </c>
      <c r="AH38" s="70">
        <f t="shared" si="12"/>
        <v>0.85294117647058809</v>
      </c>
      <c r="AI38"/>
    </row>
    <row r="39" spans="1:35" x14ac:dyDescent="0.25">
      <c r="A39" s="22">
        <v>7</v>
      </c>
      <c r="B39" s="3">
        <v>46067</v>
      </c>
      <c r="C39" s="1" t="s">
        <v>34</v>
      </c>
      <c r="D39" s="6"/>
      <c r="E39" s="4" t="s">
        <v>41</v>
      </c>
      <c r="F39" s="16" t="s">
        <v>36</v>
      </c>
      <c r="G39" s="22">
        <v>23000.400000000001</v>
      </c>
      <c r="H39" s="22">
        <v>18030.250000000007</v>
      </c>
      <c r="I39" s="22">
        <v>223</v>
      </c>
      <c r="J39" s="22"/>
      <c r="K39" s="22"/>
      <c r="L39" s="22"/>
      <c r="M39" s="22"/>
      <c r="N39" s="4" cm="1">
        <f t="array" ref="N39">_xlfn.IFS(E39="MOLINOS CHAMPION S.F",42,E39="PROPALCOL",42,E39="MASTERTEC",42,E39="GANADERIA OVIA",42,E39="ENGORDE",40,E39="DESCARTES",40,E39="REPRODUCTORA",10,E39="BAJO PESO",40,E39="CHICKENCORP",42)</f>
        <v>40</v>
      </c>
      <c r="O39" s="7">
        <f t="shared" si="0"/>
        <v>0.78391027982122075</v>
      </c>
      <c r="P39" s="4">
        <f t="shared" si="1"/>
        <v>103.1408071748879</v>
      </c>
      <c r="Q39" s="4">
        <f t="shared" si="2"/>
        <v>80.853139013452946</v>
      </c>
      <c r="R39" s="7">
        <f t="shared" si="3"/>
        <v>1</v>
      </c>
      <c r="S39" s="22">
        <v>35</v>
      </c>
      <c r="T39" s="23">
        <v>0.26111111111111113</v>
      </c>
      <c r="U39" s="23">
        <v>0.49027777777777776</v>
      </c>
      <c r="V39" s="12"/>
      <c r="W39" s="12"/>
      <c r="X39" s="2"/>
      <c r="Y39" s="2">
        <f t="shared" si="4"/>
        <v>0</v>
      </c>
      <c r="Z39" s="2"/>
      <c r="AA39" s="2">
        <f t="shared" si="5"/>
        <v>5.5750000000000002</v>
      </c>
      <c r="AB39" s="8">
        <f t="shared" si="13"/>
        <v>5.5</v>
      </c>
      <c r="AC39" s="8">
        <f t="shared" si="7"/>
        <v>0</v>
      </c>
      <c r="AD39" s="10">
        <f t="shared" si="8"/>
        <v>40.545454545454547</v>
      </c>
      <c r="AE39" s="2">
        <f t="shared" si="9"/>
        <v>93.66</v>
      </c>
      <c r="AF39" s="9">
        <f t="shared" si="10"/>
        <v>1</v>
      </c>
      <c r="AG39" s="9">
        <f t="shared" si="11"/>
        <v>1</v>
      </c>
      <c r="AH39" s="70">
        <f t="shared" si="12"/>
        <v>1</v>
      </c>
      <c r="AI39"/>
    </row>
    <row r="40" spans="1:35" x14ac:dyDescent="0.25">
      <c r="A40" s="22">
        <v>7</v>
      </c>
      <c r="B40" s="3">
        <v>46067</v>
      </c>
      <c r="C40" s="1" t="s">
        <v>38</v>
      </c>
      <c r="D40" s="6"/>
      <c r="E40" s="4" t="s">
        <v>39</v>
      </c>
      <c r="F40" s="5" t="s">
        <v>42</v>
      </c>
      <c r="G40" s="22">
        <v>3994.1</v>
      </c>
      <c r="H40" s="22">
        <v>3032.3</v>
      </c>
      <c r="I40" s="22">
        <v>17</v>
      </c>
      <c r="J40" s="22"/>
      <c r="K40" s="22"/>
      <c r="L40" s="22"/>
      <c r="M40" s="22"/>
      <c r="N40" s="4" cm="1">
        <f t="array" ref="N40">_xlfn.IFS(E40="MOLINOS CHAMPION S.F",42,E40="PROPALCOL",42,E40="MASTERTEC",42,E40="GANADERIA OVIA",42,E40="ENGORDE",40,E40="DESCARTES",40,E40="REPRODUCTORA",10,E40="BAJO PESO",40,E40="CHICKENCORP",42)</f>
        <v>10</v>
      </c>
      <c r="O40" s="7">
        <f t="shared" si="0"/>
        <v>0.75919481234821373</v>
      </c>
      <c r="P40" s="4">
        <f t="shared" si="1"/>
        <v>234.9470588235294</v>
      </c>
      <c r="Q40" s="4">
        <f t="shared" si="2"/>
        <v>178.37058823529412</v>
      </c>
      <c r="R40" s="7">
        <f t="shared" si="3"/>
        <v>1</v>
      </c>
      <c r="S40" s="22">
        <v>35</v>
      </c>
      <c r="T40" s="23">
        <v>0.46875</v>
      </c>
      <c r="U40" s="23">
        <v>0.54166666666666663</v>
      </c>
      <c r="V40" s="12"/>
      <c r="W40" s="12"/>
      <c r="X40" s="2"/>
      <c r="Y40" s="2">
        <f t="shared" si="4"/>
        <v>0</v>
      </c>
      <c r="Z40" s="2"/>
      <c r="AA40" s="2">
        <f t="shared" si="5"/>
        <v>1.7</v>
      </c>
      <c r="AB40" s="8">
        <f t="shared" si="13"/>
        <v>1.75</v>
      </c>
      <c r="AC40" s="8">
        <f t="shared" si="7"/>
        <v>5.0000000000000044E-2</v>
      </c>
      <c r="AD40" s="10">
        <f t="shared" si="8"/>
        <v>9.7142857142857135</v>
      </c>
      <c r="AE40" s="2">
        <f t="shared" si="9"/>
        <v>49.51</v>
      </c>
      <c r="AF40" s="9">
        <f t="shared" si="10"/>
        <v>0.97058823529411764</v>
      </c>
      <c r="AG40" s="9">
        <f t="shared" si="11"/>
        <v>0.97142857142857131</v>
      </c>
      <c r="AH40" s="70">
        <f t="shared" si="12"/>
        <v>0.94285714285714273</v>
      </c>
      <c r="AI40"/>
    </row>
    <row r="41" spans="1:35" x14ac:dyDescent="0.25">
      <c r="A41" s="22">
        <v>8</v>
      </c>
      <c r="B41" s="24">
        <v>46070</v>
      </c>
      <c r="C41" s="1" t="s">
        <v>34</v>
      </c>
      <c r="D41" s="1">
        <v>5470</v>
      </c>
      <c r="E41" s="4" t="s">
        <v>35</v>
      </c>
      <c r="F41" s="5" t="s">
        <v>36</v>
      </c>
      <c r="G41" s="22">
        <v>6758.7500000000009</v>
      </c>
      <c r="H41" s="22">
        <v>5237.05</v>
      </c>
      <c r="I41" s="22">
        <v>60</v>
      </c>
      <c r="J41" s="22"/>
      <c r="K41" s="22"/>
      <c r="L41" s="22"/>
      <c r="M41" s="22"/>
      <c r="N41" s="4" cm="1">
        <f t="array" ref="N41">_xlfn.IFS(E41="MOLINOS CHAMPION S.F",42,E41="PROPALCOL",42,E41="MASTERTEC",42,E41="GANADERIA OVIA",42,E41="ENGORDE",40,E41="DESCARTES",40,E41="REPRODUCTORA",10,E41="BAJO PESO",40,E41="CHICKENCORP",42)</f>
        <v>42</v>
      </c>
      <c r="O41" s="7">
        <f t="shared" si="0"/>
        <v>0.77485481782874044</v>
      </c>
      <c r="P41" s="4">
        <f t="shared" si="1"/>
        <v>112.64583333333334</v>
      </c>
      <c r="Q41" s="4">
        <f t="shared" si="2"/>
        <v>87.284166666666664</v>
      </c>
      <c r="R41" s="7">
        <f t="shared" si="3"/>
        <v>1</v>
      </c>
      <c r="S41" s="22">
        <v>35</v>
      </c>
      <c r="T41" s="23">
        <v>0.30208333333333331</v>
      </c>
      <c r="U41" s="23">
        <v>0.38958333333333334</v>
      </c>
      <c r="V41" s="12"/>
      <c r="W41" s="12"/>
      <c r="X41" s="2"/>
      <c r="Y41" s="2">
        <f t="shared" si="4"/>
        <v>0</v>
      </c>
      <c r="Z41" s="2"/>
      <c r="AA41" s="2">
        <f t="shared" si="5"/>
        <v>1.4285714285714286</v>
      </c>
      <c r="AB41" s="8">
        <f t="shared" si="13"/>
        <v>2.1</v>
      </c>
      <c r="AC41" s="8">
        <f t="shared" si="7"/>
        <v>0.67142857142857149</v>
      </c>
      <c r="AD41" s="10">
        <f t="shared" si="8"/>
        <v>28.571428571428569</v>
      </c>
      <c r="AE41" s="2">
        <f t="shared" si="9"/>
        <v>71.25</v>
      </c>
      <c r="AF41" s="9">
        <f t="shared" si="10"/>
        <v>0.52999999999999992</v>
      </c>
      <c r="AG41" s="9">
        <f t="shared" si="11"/>
        <v>0.68027210884353739</v>
      </c>
      <c r="AH41" s="70">
        <f t="shared" si="12"/>
        <v>0.36054421768707479</v>
      </c>
      <c r="AI41"/>
    </row>
    <row r="42" spans="1:35" x14ac:dyDescent="0.25">
      <c r="A42" s="22">
        <v>8</v>
      </c>
      <c r="B42" s="24">
        <v>46070</v>
      </c>
      <c r="C42" s="17" t="s">
        <v>34</v>
      </c>
      <c r="D42" s="17">
        <v>274</v>
      </c>
      <c r="E42" s="19" t="s">
        <v>37</v>
      </c>
      <c r="F42" s="20" t="s">
        <v>36</v>
      </c>
      <c r="G42" s="22">
        <v>27916.199999999993</v>
      </c>
      <c r="H42" s="22">
        <v>22415.949999999997</v>
      </c>
      <c r="I42" s="22">
        <v>260</v>
      </c>
      <c r="J42" s="22"/>
      <c r="K42" s="22"/>
      <c r="L42" s="22"/>
      <c r="M42" s="22"/>
      <c r="N42" s="4" cm="1">
        <f t="array" ref="N42">_xlfn.IFS(E42="MOLINOS CHAMPION S.F",42,E42="PROPALCOL",42,E42="MASTERTEC",42,E42="GANADERIA OVIA",42,E42="ENGORDE",40,E42="DESCARTES",40,E42="REPRODUCTORA",10,E42="BAJO PESO",40,E42="CHICKENCORP",42)</f>
        <v>40</v>
      </c>
      <c r="O42" s="7">
        <f t="shared" si="0"/>
        <v>0.80297282581440177</v>
      </c>
      <c r="P42" s="4">
        <f t="shared" si="1"/>
        <v>107.36999999999998</v>
      </c>
      <c r="Q42" s="4">
        <f t="shared" si="2"/>
        <v>86.215192307692291</v>
      </c>
      <c r="R42" s="7">
        <f t="shared" si="3"/>
        <v>1</v>
      </c>
      <c r="S42" s="22">
        <v>35</v>
      </c>
      <c r="T42" s="23">
        <v>0.36458333333333331</v>
      </c>
      <c r="U42" s="23">
        <v>0.66666666666666663</v>
      </c>
      <c r="V42" s="12"/>
      <c r="W42" s="12"/>
      <c r="X42" s="2"/>
      <c r="Y42" s="2">
        <f t="shared" si="4"/>
        <v>0</v>
      </c>
      <c r="Z42" s="2">
        <v>1</v>
      </c>
      <c r="AA42" s="2">
        <f t="shared" si="5"/>
        <v>6.5</v>
      </c>
      <c r="AB42" s="8">
        <f t="shared" si="13"/>
        <v>6.25</v>
      </c>
      <c r="AC42" s="8">
        <f t="shared" si="7"/>
        <v>0</v>
      </c>
      <c r="AD42" s="10">
        <f t="shared" si="8"/>
        <v>41.6</v>
      </c>
      <c r="AE42" s="2">
        <f t="shared" si="9"/>
        <v>102.47</v>
      </c>
      <c r="AF42" s="9">
        <f t="shared" si="10"/>
        <v>1</v>
      </c>
      <c r="AG42" s="9">
        <f t="shared" si="11"/>
        <v>1</v>
      </c>
      <c r="AH42" s="70">
        <f t="shared" si="12"/>
        <v>1</v>
      </c>
      <c r="AI42"/>
    </row>
    <row r="43" spans="1:35" x14ac:dyDescent="0.25">
      <c r="A43" s="22">
        <v>8</v>
      </c>
      <c r="B43" s="24">
        <v>46071</v>
      </c>
      <c r="C43" s="1" t="s">
        <v>34</v>
      </c>
      <c r="D43" s="1">
        <v>5470</v>
      </c>
      <c r="E43" s="4" t="s">
        <v>35</v>
      </c>
      <c r="F43" s="5" t="s">
        <v>36</v>
      </c>
      <c r="G43" s="22">
        <v>13087.149999999992</v>
      </c>
      <c r="H43" s="22">
        <v>10274.199999999997</v>
      </c>
      <c r="I43" s="22">
        <v>120</v>
      </c>
      <c r="J43" s="22"/>
      <c r="K43" s="22"/>
      <c r="L43" s="22"/>
      <c r="M43" s="22"/>
      <c r="N43" s="4" cm="1">
        <f t="array" ref="N43">_xlfn.IFS(E43="MOLINOS CHAMPION S.F",42,E43="PROPALCOL",42,E43="MASTERTEC",42,E43="GANADERIA OVIA",42,E43="ENGORDE",40,E43="DESCARTES",40,E43="REPRODUCTORA",10,E43="BAJO PESO",40,E43="CHICKENCORP",42)</f>
        <v>42</v>
      </c>
      <c r="O43" s="7">
        <f t="shared" si="0"/>
        <v>0.78506015442628863</v>
      </c>
      <c r="P43" s="4">
        <f t="shared" si="1"/>
        <v>109.05958333333326</v>
      </c>
      <c r="Q43" s="4">
        <f t="shared" si="2"/>
        <v>85.618333333333311</v>
      </c>
      <c r="R43" s="7">
        <f t="shared" si="3"/>
        <v>1</v>
      </c>
      <c r="S43" s="22">
        <v>30</v>
      </c>
      <c r="T43" s="23">
        <v>0.30208333333333331</v>
      </c>
      <c r="U43" s="23">
        <v>0.43819444444444444</v>
      </c>
      <c r="V43" s="12"/>
      <c r="W43" s="12"/>
      <c r="X43" s="2"/>
      <c r="Y43" s="2">
        <f t="shared" si="4"/>
        <v>0</v>
      </c>
      <c r="Z43" s="2"/>
      <c r="AA43" s="2">
        <f t="shared" si="5"/>
        <v>2.8571428571428572</v>
      </c>
      <c r="AB43" s="8">
        <f t="shared" si="13"/>
        <v>3.2666666666666666</v>
      </c>
      <c r="AC43" s="8">
        <f t="shared" si="7"/>
        <v>0.4095238095238094</v>
      </c>
      <c r="AD43" s="10">
        <f t="shared" si="8"/>
        <v>36.734693877551024</v>
      </c>
      <c r="AE43" s="2">
        <f t="shared" si="9"/>
        <v>104.84</v>
      </c>
      <c r="AF43" s="9">
        <f t="shared" si="10"/>
        <v>0.85666666666666669</v>
      </c>
      <c r="AG43" s="9">
        <f t="shared" si="11"/>
        <v>0.87463556851311963</v>
      </c>
      <c r="AH43" s="70">
        <f t="shared" si="12"/>
        <v>0.74927113702623915</v>
      </c>
      <c r="AI43"/>
    </row>
    <row r="44" spans="1:35" x14ac:dyDescent="0.25">
      <c r="A44" s="22">
        <v>8</v>
      </c>
      <c r="B44" s="24">
        <v>46071</v>
      </c>
      <c r="C44" s="17" t="s">
        <v>34</v>
      </c>
      <c r="D44" s="17">
        <v>274</v>
      </c>
      <c r="E44" s="19" t="s">
        <v>37</v>
      </c>
      <c r="F44" s="20" t="s">
        <v>36</v>
      </c>
      <c r="G44" s="22">
        <v>25081.100000000006</v>
      </c>
      <c r="H44" s="22">
        <v>20401.999999999996</v>
      </c>
      <c r="I44" s="22">
        <v>239</v>
      </c>
      <c r="J44" s="22"/>
      <c r="K44" s="22"/>
      <c r="L44" s="22"/>
      <c r="M44" s="22"/>
      <c r="N44" s="4" cm="1">
        <f t="array" ref="N44">_xlfn.IFS(E44="MOLINOS CHAMPION S.F",42,E44="PROPALCOL",42,E44="MASTERTEC",42,E44="GANADERIA OVIA",42,E44="ENGORDE",40,E44="DESCARTES",40,E44="REPRODUCTORA",10,E44="BAJO PESO",40,E44="CHICKENCORP",42)</f>
        <v>40</v>
      </c>
      <c r="O44" s="7">
        <f t="shared" si="0"/>
        <v>0.81344119675771764</v>
      </c>
      <c r="P44" s="4">
        <f t="shared" si="1"/>
        <v>104.94184100418413</v>
      </c>
      <c r="Q44" s="4">
        <f t="shared" si="2"/>
        <v>85.364016736401652</v>
      </c>
      <c r="R44" s="7">
        <f t="shared" si="3"/>
        <v>1</v>
      </c>
      <c r="S44" s="22">
        <v>30</v>
      </c>
      <c r="T44" s="23">
        <v>0.42708333333333331</v>
      </c>
      <c r="U44" s="23">
        <v>0.7</v>
      </c>
      <c r="V44" s="12"/>
      <c r="W44" s="12"/>
      <c r="X44" s="2"/>
      <c r="Y44" s="2">
        <f t="shared" si="4"/>
        <v>0</v>
      </c>
      <c r="Z44" s="2">
        <v>1</v>
      </c>
      <c r="AA44" s="2">
        <f t="shared" si="5"/>
        <v>5.9749999999999996</v>
      </c>
      <c r="AB44" s="8">
        <f t="shared" si="13"/>
        <v>5.55</v>
      </c>
      <c r="AC44" s="8">
        <f t="shared" si="7"/>
        <v>0</v>
      </c>
      <c r="AD44" s="10">
        <f t="shared" si="8"/>
        <v>43.063063063063062</v>
      </c>
      <c r="AE44" s="2">
        <f t="shared" si="9"/>
        <v>122.53</v>
      </c>
      <c r="AF44" s="9">
        <f t="shared" si="10"/>
        <v>1</v>
      </c>
      <c r="AG44" s="9">
        <f t="shared" si="11"/>
        <v>1</v>
      </c>
      <c r="AH44" s="70">
        <f t="shared" si="12"/>
        <v>1</v>
      </c>
      <c r="AI44"/>
    </row>
    <row r="45" spans="1:35" x14ac:dyDescent="0.25">
      <c r="A45" s="22">
        <v>8</v>
      </c>
      <c r="B45" s="24">
        <v>46072</v>
      </c>
      <c r="C45" s="17" t="s">
        <v>34</v>
      </c>
      <c r="D45" s="17">
        <v>274</v>
      </c>
      <c r="E45" s="19" t="s">
        <v>37</v>
      </c>
      <c r="F45" s="20" t="s">
        <v>36</v>
      </c>
      <c r="G45" s="22">
        <v>23029.650000000009</v>
      </c>
      <c r="H45" s="22">
        <v>18533.249999999996</v>
      </c>
      <c r="I45" s="22">
        <v>229</v>
      </c>
      <c r="J45" s="22"/>
      <c r="K45" s="22"/>
      <c r="L45" s="22"/>
      <c r="M45" s="22"/>
      <c r="N45" s="4" cm="1">
        <f t="array" ref="N45">_xlfn.IFS(E45="MOLINOS CHAMPION S.F",42,E45="PROPALCOL",42,E45="MASTERTEC",42,E45="GANADERIA OVIA",42,E45="ENGORDE",40,E45="DESCARTES",40,E45="REPRODUCTORA",10,E45="BAJO PESO",40,E45="CHICKENCORP",42)</f>
        <v>40</v>
      </c>
      <c r="O45" s="7">
        <f t="shared" si="0"/>
        <v>0.80475604275358026</v>
      </c>
      <c r="P45" s="4">
        <f t="shared" si="1"/>
        <v>100.56615720524022</v>
      </c>
      <c r="Q45" s="4">
        <f t="shared" si="2"/>
        <v>80.931222707423558</v>
      </c>
      <c r="R45" s="7">
        <f t="shared" si="3"/>
        <v>1</v>
      </c>
      <c r="S45" s="22">
        <v>37</v>
      </c>
      <c r="T45" s="23">
        <v>0.29722222222222222</v>
      </c>
      <c r="U45" s="23">
        <v>0.50694444444444442</v>
      </c>
      <c r="V45" s="12"/>
      <c r="W45" s="12"/>
      <c r="X45" s="2"/>
      <c r="Y45" s="2">
        <f t="shared" si="4"/>
        <v>0</v>
      </c>
      <c r="Z45" s="2">
        <v>1</v>
      </c>
      <c r="AA45" s="2">
        <f t="shared" si="5"/>
        <v>5.7249999999999996</v>
      </c>
      <c r="AB45" s="8">
        <f t="shared" si="13"/>
        <v>4.0333333333333332</v>
      </c>
      <c r="AC45" s="8">
        <f t="shared" si="7"/>
        <v>0</v>
      </c>
      <c r="AD45" s="10">
        <f t="shared" si="8"/>
        <v>56.776859504132233</v>
      </c>
      <c r="AE45" s="2">
        <f t="shared" si="9"/>
        <v>124.19</v>
      </c>
      <c r="AF45" s="9">
        <f t="shared" si="10"/>
        <v>1</v>
      </c>
      <c r="AG45" s="9">
        <f t="shared" si="11"/>
        <v>1</v>
      </c>
      <c r="AH45" s="70">
        <f t="shared" si="12"/>
        <v>1</v>
      </c>
      <c r="AI45"/>
    </row>
    <row r="46" spans="1:35" x14ac:dyDescent="0.25">
      <c r="A46" s="22">
        <v>8</v>
      </c>
      <c r="B46" s="24">
        <v>46073</v>
      </c>
      <c r="C46" s="1" t="s">
        <v>34</v>
      </c>
      <c r="D46" s="6"/>
      <c r="E46" s="4" t="s">
        <v>41</v>
      </c>
      <c r="F46" s="16" t="s">
        <v>36</v>
      </c>
      <c r="G46" s="22">
        <v>8283.3499999999985</v>
      </c>
      <c r="H46" s="22">
        <v>6149.0999999999995</v>
      </c>
      <c r="I46" s="22">
        <v>110</v>
      </c>
      <c r="J46" s="22"/>
      <c r="K46" s="22"/>
      <c r="L46" s="22"/>
      <c r="M46" s="22"/>
      <c r="N46" s="4" cm="1">
        <f t="array" ref="N46">_xlfn.IFS(E46="MOLINOS CHAMPION S.F",42,E46="PROPALCOL",42,E46="MASTERTEC",42,E46="GANADERIA OVIA",42,E46="ENGORDE",40,E46="DESCARTES",40,E46="REPRODUCTORA",10,E46="BAJO PESO",40,E46="CHICKENCORP",42)</f>
        <v>40</v>
      </c>
      <c r="O46" s="7">
        <f t="shared" si="0"/>
        <v>0.74234458280768056</v>
      </c>
      <c r="P46" s="4">
        <f t="shared" si="1"/>
        <v>75.303181818181798</v>
      </c>
      <c r="Q46" s="4">
        <f t="shared" si="2"/>
        <v>55.900909090909089</v>
      </c>
      <c r="R46" s="7">
        <f t="shared" si="3"/>
        <v>1</v>
      </c>
      <c r="S46" s="22">
        <v>32</v>
      </c>
      <c r="T46" s="23">
        <v>0.63194444444444442</v>
      </c>
      <c r="U46" s="23">
        <v>0.78888888888888886</v>
      </c>
      <c r="V46" s="12"/>
      <c r="W46" s="12"/>
      <c r="X46" s="2"/>
      <c r="Y46" s="2">
        <f t="shared" si="4"/>
        <v>0</v>
      </c>
      <c r="Z46" s="2"/>
      <c r="AA46" s="2">
        <f t="shared" si="5"/>
        <v>2.75</v>
      </c>
      <c r="AB46" s="8">
        <f t="shared" si="13"/>
        <v>3.7666666666666666</v>
      </c>
      <c r="AC46" s="8">
        <f t="shared" si="7"/>
        <v>1.0166666666666666</v>
      </c>
      <c r="AD46" s="10">
        <f t="shared" si="8"/>
        <v>29.20353982300885</v>
      </c>
      <c r="AE46" s="2">
        <f t="shared" si="9"/>
        <v>51.02</v>
      </c>
      <c r="AF46" s="9">
        <f t="shared" si="10"/>
        <v>0.63030303030303036</v>
      </c>
      <c r="AG46" s="9">
        <f t="shared" si="11"/>
        <v>0.73008849557522126</v>
      </c>
      <c r="AH46" s="70">
        <f t="shared" si="12"/>
        <v>0.46017699115044253</v>
      </c>
      <c r="AI46"/>
    </row>
    <row r="47" spans="1:35" x14ac:dyDescent="0.25">
      <c r="A47" s="22">
        <v>9</v>
      </c>
      <c r="B47" s="24">
        <v>46076</v>
      </c>
      <c r="C47" s="1" t="s">
        <v>34</v>
      </c>
      <c r="D47" s="1">
        <v>5470</v>
      </c>
      <c r="E47" s="4" t="s">
        <v>35</v>
      </c>
      <c r="F47" s="5" t="s">
        <v>36</v>
      </c>
      <c r="G47" s="22">
        <v>12750.949999999999</v>
      </c>
      <c r="H47" s="22">
        <v>9746.0500000000011</v>
      </c>
      <c r="I47" s="22">
        <v>120</v>
      </c>
      <c r="J47" s="22"/>
      <c r="K47" s="22"/>
      <c r="L47" s="22"/>
      <c r="M47" s="22"/>
      <c r="N47" s="4" cm="1">
        <f t="array" ref="N47">_xlfn.IFS(E47="MOLINOS CHAMPION S.F",42,E47="PROPALCOL",42,E47="MASTERTEC",42,E47="GANADERIA OVIA",42,E47="ENGORDE",40,E47="DESCARTES",40,E47="REPRODUCTORA",10,E47="BAJO PESO",40,E47="CHICKENCORP",42)</f>
        <v>42</v>
      </c>
      <c r="O47" s="7">
        <f t="shared" si="0"/>
        <v>0.76433912767284018</v>
      </c>
      <c r="P47" s="4">
        <f t="shared" si="1"/>
        <v>106.25791666666666</v>
      </c>
      <c r="Q47" s="4">
        <f t="shared" si="2"/>
        <v>81.217083333333349</v>
      </c>
      <c r="R47" s="7">
        <f t="shared" si="3"/>
        <v>1</v>
      </c>
      <c r="S47" s="22">
        <v>32</v>
      </c>
      <c r="T47" s="23">
        <v>0.3125</v>
      </c>
      <c r="U47" s="23">
        <v>0.43055555555555558</v>
      </c>
      <c r="V47" s="12"/>
      <c r="W47" s="12"/>
      <c r="X47" s="2"/>
      <c r="Y47" s="2">
        <f t="shared" si="4"/>
        <v>0</v>
      </c>
      <c r="Z47" s="2"/>
      <c r="AA47" s="2">
        <f t="shared" si="5"/>
        <v>2.8571428571428572</v>
      </c>
      <c r="AB47" s="8">
        <f t="shared" si="13"/>
        <v>2.8333333333333335</v>
      </c>
      <c r="AC47" s="8">
        <f t="shared" si="7"/>
        <v>0</v>
      </c>
      <c r="AD47" s="10">
        <f t="shared" si="8"/>
        <v>42.352941176470587</v>
      </c>
      <c r="AE47" s="2">
        <f t="shared" si="9"/>
        <v>107.49</v>
      </c>
      <c r="AF47" s="9">
        <f t="shared" si="10"/>
        <v>1</v>
      </c>
      <c r="AG47" s="9">
        <f t="shared" si="11"/>
        <v>1</v>
      </c>
      <c r="AH47" s="70">
        <f t="shared" si="12"/>
        <v>1</v>
      </c>
      <c r="AI47"/>
    </row>
    <row r="48" spans="1:35" x14ac:dyDescent="0.25">
      <c r="A48" s="22">
        <v>9</v>
      </c>
      <c r="B48" s="24">
        <v>46076</v>
      </c>
      <c r="C48" s="1" t="s">
        <v>34</v>
      </c>
      <c r="D48" s="6"/>
      <c r="E48" s="4" t="s">
        <v>41</v>
      </c>
      <c r="F48" s="16" t="s">
        <v>36</v>
      </c>
      <c r="G48" s="22">
        <v>3158.7</v>
      </c>
      <c r="H48" s="22">
        <v>2252.9499999999994</v>
      </c>
      <c r="I48" s="22">
        <v>40</v>
      </c>
      <c r="J48" s="22"/>
      <c r="K48" s="22"/>
      <c r="L48" s="22"/>
      <c r="M48" s="22"/>
      <c r="N48" s="4" cm="1">
        <f t="array" ref="N48">_xlfn.IFS(E48="MOLINOS CHAMPION S.F",42,E48="PROPALCOL",42,E48="MASTERTEC",42,E48="GANADERIA OVIA",42,E48="ENGORDE",40,E48="DESCARTES",40,E48="REPRODUCTORA",10,E48="BAJO PESO",40,E48="CHICKENCORP",42)</f>
        <v>40</v>
      </c>
      <c r="O48" s="7">
        <f t="shared" si="0"/>
        <v>0.71325228733339652</v>
      </c>
      <c r="P48" s="4">
        <f t="shared" si="1"/>
        <v>78.967500000000001</v>
      </c>
      <c r="Q48" s="4">
        <f t="shared" si="2"/>
        <v>56.323749999999983</v>
      </c>
      <c r="R48" s="7">
        <f t="shared" si="3"/>
        <v>1</v>
      </c>
      <c r="S48" s="22">
        <v>29</v>
      </c>
      <c r="T48" s="23">
        <v>0.72222222222222221</v>
      </c>
      <c r="U48" s="23">
        <v>0.78472222222222221</v>
      </c>
      <c r="V48" s="12"/>
      <c r="W48" s="12"/>
      <c r="X48" s="2"/>
      <c r="Y48" s="2">
        <f t="shared" si="4"/>
        <v>0</v>
      </c>
      <c r="Z48" s="2"/>
      <c r="AA48" s="2">
        <f t="shared" si="5"/>
        <v>1</v>
      </c>
      <c r="AB48" s="8">
        <f t="shared" si="13"/>
        <v>1.5</v>
      </c>
      <c r="AC48" s="8">
        <f t="shared" si="7"/>
        <v>0.5</v>
      </c>
      <c r="AD48" s="10">
        <f t="shared" si="8"/>
        <v>26.666666666666668</v>
      </c>
      <c r="AE48" s="2">
        <f t="shared" si="9"/>
        <v>51.79</v>
      </c>
      <c r="AF48" s="9">
        <f t="shared" si="10"/>
        <v>0.5</v>
      </c>
      <c r="AG48" s="9">
        <f t="shared" si="11"/>
        <v>0.66666666666666674</v>
      </c>
      <c r="AH48" s="70">
        <f t="shared" si="12"/>
        <v>0.33333333333333337</v>
      </c>
      <c r="AI48"/>
    </row>
    <row r="49" spans="1:35" x14ac:dyDescent="0.25">
      <c r="A49" s="22">
        <v>9</v>
      </c>
      <c r="B49" s="24">
        <v>46077</v>
      </c>
      <c r="C49" s="1" t="s">
        <v>34</v>
      </c>
      <c r="D49" s="6"/>
      <c r="E49" s="4" t="s">
        <v>41</v>
      </c>
      <c r="F49" s="16" t="s">
        <v>36</v>
      </c>
      <c r="G49" s="22">
        <v>8515.3000000000011</v>
      </c>
      <c r="H49" s="22">
        <v>6357.9999999999991</v>
      </c>
      <c r="I49" s="22">
        <v>101</v>
      </c>
      <c r="J49" s="22"/>
      <c r="K49" s="22"/>
      <c r="L49" s="22"/>
      <c r="M49" s="22"/>
      <c r="N49" s="4" cm="1">
        <f t="array" ref="N49">_xlfn.IFS(E49="MOLINOS CHAMPION S.F",42,E49="PROPALCOL",42,E49="MASTERTEC",42,E49="GANADERIA OVIA",42,E49="ENGORDE",40,E49="DESCARTES",40,E49="REPRODUCTORA",10,E49="BAJO PESO",40,E49="CHICKENCORP",42)</f>
        <v>40</v>
      </c>
      <c r="O49" s="7">
        <f t="shared" si="0"/>
        <v>0.74665601916550184</v>
      </c>
      <c r="P49" s="4">
        <f t="shared" si="1"/>
        <v>84.309900990099024</v>
      </c>
      <c r="Q49" s="4">
        <f t="shared" si="2"/>
        <v>62.950495049504944</v>
      </c>
      <c r="R49" s="7">
        <f t="shared" si="3"/>
        <v>1</v>
      </c>
      <c r="S49" s="22">
        <v>37</v>
      </c>
      <c r="T49" s="23">
        <v>0.2986111111111111</v>
      </c>
      <c r="U49" s="23">
        <v>0.4201388888888889</v>
      </c>
      <c r="V49" s="12"/>
      <c r="W49" s="12"/>
      <c r="X49" s="2"/>
      <c r="Y49" s="2">
        <f t="shared" si="4"/>
        <v>0</v>
      </c>
      <c r="Z49" s="2"/>
      <c r="AA49" s="2">
        <f t="shared" si="5"/>
        <v>2.5249999999999999</v>
      </c>
      <c r="AB49" s="8">
        <f t="shared" si="13"/>
        <v>2.9166666666666665</v>
      </c>
      <c r="AC49" s="8">
        <f t="shared" si="7"/>
        <v>0.39166666666666661</v>
      </c>
      <c r="AD49" s="10">
        <f t="shared" si="8"/>
        <v>34.628571428571433</v>
      </c>
      <c r="AE49" s="2">
        <f t="shared" si="9"/>
        <v>58.92</v>
      </c>
      <c r="AF49" s="9">
        <f t="shared" si="10"/>
        <v>0.84488448844884489</v>
      </c>
      <c r="AG49" s="9">
        <f t="shared" si="11"/>
        <v>0.86571428571428588</v>
      </c>
      <c r="AH49" s="70">
        <f t="shared" si="12"/>
        <v>0.73142857142857154</v>
      </c>
      <c r="AI49"/>
    </row>
    <row r="50" spans="1:35" x14ac:dyDescent="0.25">
      <c r="A50" s="22">
        <v>9</v>
      </c>
      <c r="B50" s="24">
        <v>46078</v>
      </c>
      <c r="C50" s="1" t="s">
        <v>38</v>
      </c>
      <c r="D50" s="6"/>
      <c r="E50" s="4" t="s">
        <v>39</v>
      </c>
      <c r="F50" s="5" t="s">
        <v>42</v>
      </c>
      <c r="G50" s="22">
        <v>3723.2</v>
      </c>
      <c r="H50" s="22">
        <v>2815.7999999999997</v>
      </c>
      <c r="I50" s="22">
        <v>17</v>
      </c>
      <c r="J50" s="22"/>
      <c r="K50" s="22"/>
      <c r="L50" s="22"/>
      <c r="M50" s="22"/>
      <c r="N50" s="4" cm="1">
        <f t="array" ref="N50">_xlfn.IFS(E50="MOLINOS CHAMPION S.F",42,E50="PROPALCOL",42,E50="MASTERTEC",42,E50="GANADERIA OVIA",42,E50="ENGORDE",40,E50="DESCARTES",40,E50="REPRODUCTORA",10,E50="BAJO PESO",40,E50="CHICKENCORP",42)</f>
        <v>10</v>
      </c>
      <c r="O50" s="7">
        <f t="shared" si="0"/>
        <v>0.75628491620111726</v>
      </c>
      <c r="P50" s="4">
        <f t="shared" si="1"/>
        <v>219.01176470588234</v>
      </c>
      <c r="Q50" s="4">
        <f t="shared" si="2"/>
        <v>165.63529411764705</v>
      </c>
      <c r="R50" s="7">
        <f t="shared" si="3"/>
        <v>1</v>
      </c>
      <c r="S50" s="22">
        <v>22</v>
      </c>
      <c r="T50" s="23">
        <v>0.35208333333333336</v>
      </c>
      <c r="U50" s="23">
        <v>0.4548611111111111</v>
      </c>
      <c r="V50" s="12"/>
      <c r="W50" s="12"/>
      <c r="X50" s="2"/>
      <c r="Y50" s="2">
        <f t="shared" si="4"/>
        <v>0</v>
      </c>
      <c r="Z50" s="2"/>
      <c r="AA50" s="2">
        <f t="shared" si="5"/>
        <v>1.7</v>
      </c>
      <c r="AB50" s="8">
        <f t="shared" si="13"/>
        <v>2.4666666666666668</v>
      </c>
      <c r="AC50" s="8">
        <f t="shared" si="7"/>
        <v>0.76666666666666683</v>
      </c>
      <c r="AD50" s="10">
        <f t="shared" si="8"/>
        <v>6.8918918918918912</v>
      </c>
      <c r="AE50" s="2">
        <f t="shared" si="9"/>
        <v>51.89</v>
      </c>
      <c r="AF50" s="9">
        <f t="shared" si="10"/>
        <v>0.54901960784313719</v>
      </c>
      <c r="AG50" s="9">
        <f t="shared" si="11"/>
        <v>0.68918918918918914</v>
      </c>
      <c r="AH50" s="70">
        <f t="shared" si="12"/>
        <v>0.37837837837837829</v>
      </c>
      <c r="AI50"/>
    </row>
    <row r="51" spans="1:35" x14ac:dyDescent="0.25">
      <c r="A51" s="22">
        <v>9</v>
      </c>
      <c r="B51" s="24">
        <v>46078</v>
      </c>
      <c r="C51" s="1" t="s">
        <v>34</v>
      </c>
      <c r="D51" s="1">
        <v>5470</v>
      </c>
      <c r="E51" s="4" t="s">
        <v>35</v>
      </c>
      <c r="F51" s="5" t="s">
        <v>36</v>
      </c>
      <c r="G51" s="22">
        <v>6977.6999999999989</v>
      </c>
      <c r="H51" s="22">
        <v>5399.7000000000007</v>
      </c>
      <c r="I51" s="22">
        <v>60</v>
      </c>
      <c r="J51" s="22"/>
      <c r="K51" s="22"/>
      <c r="L51" s="22"/>
      <c r="M51" s="22"/>
      <c r="N51" s="4" cm="1">
        <f t="array" ref="N51">_xlfn.IFS(E51="MOLINOS CHAMPION S.F",42,E51="PROPALCOL",42,E51="MASTERTEC",42,E51="GANADERIA OVIA",42,E51="ENGORDE",40,E51="DESCARTES",40,E51="REPRODUCTORA",10,E51="BAJO PESO",40,E51="CHICKENCORP",42)</f>
        <v>42</v>
      </c>
      <c r="O51" s="7">
        <f t="shared" si="0"/>
        <v>0.77385098241540928</v>
      </c>
      <c r="P51" s="4">
        <f t="shared" si="1"/>
        <v>116.29499999999999</v>
      </c>
      <c r="Q51" s="4">
        <f t="shared" si="2"/>
        <v>89.995000000000019</v>
      </c>
      <c r="R51" s="7">
        <f t="shared" si="3"/>
        <v>1</v>
      </c>
      <c r="S51" s="22">
        <v>22</v>
      </c>
      <c r="T51" s="23">
        <v>0.29166666666666669</v>
      </c>
      <c r="U51" s="23">
        <v>0.38194444444444442</v>
      </c>
      <c r="V51" s="12"/>
      <c r="W51" s="12"/>
      <c r="X51" s="2"/>
      <c r="Y51" s="2">
        <f t="shared" si="4"/>
        <v>0</v>
      </c>
      <c r="Z51" s="2"/>
      <c r="AA51" s="2">
        <f t="shared" si="5"/>
        <v>1.4285714285714286</v>
      </c>
      <c r="AB51" s="8">
        <f t="shared" si="13"/>
        <v>2.1666666666666665</v>
      </c>
      <c r="AC51" s="8">
        <f t="shared" si="7"/>
        <v>0.73809523809523792</v>
      </c>
      <c r="AD51" s="10">
        <f t="shared" si="8"/>
        <v>27.692307692307693</v>
      </c>
      <c r="AE51" s="2">
        <f t="shared" si="9"/>
        <v>113.28</v>
      </c>
      <c r="AF51" s="9">
        <f t="shared" si="10"/>
        <v>0.48333333333333345</v>
      </c>
      <c r="AG51" s="9">
        <f t="shared" si="11"/>
        <v>0.65934065934065933</v>
      </c>
      <c r="AH51" s="70">
        <f t="shared" si="12"/>
        <v>0.31868131868131877</v>
      </c>
      <c r="AI51"/>
    </row>
    <row r="52" spans="1:35" x14ac:dyDescent="0.25">
      <c r="A52" s="22">
        <v>9</v>
      </c>
      <c r="B52" s="24">
        <v>46079</v>
      </c>
      <c r="C52" s="1" t="s">
        <v>34</v>
      </c>
      <c r="D52" s="1">
        <v>5470</v>
      </c>
      <c r="E52" s="4" t="s">
        <v>35</v>
      </c>
      <c r="F52" s="5" t="s">
        <v>36</v>
      </c>
      <c r="G52" s="22">
        <v>6712.7000000000016</v>
      </c>
      <c r="H52" s="22">
        <v>5191.95</v>
      </c>
      <c r="I52" s="22">
        <v>59</v>
      </c>
      <c r="J52" s="22"/>
      <c r="K52" s="22"/>
      <c r="L52" s="22"/>
      <c r="M52" s="22"/>
      <c r="N52" s="4" cm="1">
        <f t="array" ref="N52">_xlfn.IFS(E52="MOLINOS CHAMPION S.F",42,E52="PROPALCOL",42,E52="MASTERTEC",42,E52="GANADERIA OVIA",42,E52="ENGORDE",40,E52="DESCARTES",40,E52="REPRODUCTORA",10,E52="BAJO PESO",40,E52="CHICKENCORP",42)</f>
        <v>42</v>
      </c>
      <c r="O52" s="7">
        <f t="shared" si="0"/>
        <v>0.77345181521593376</v>
      </c>
      <c r="P52" s="4">
        <f t="shared" si="1"/>
        <v>113.77457627118646</v>
      </c>
      <c r="Q52" s="4">
        <f t="shared" si="2"/>
        <v>87.999152542372883</v>
      </c>
      <c r="R52" s="7">
        <f t="shared" si="3"/>
        <v>1</v>
      </c>
      <c r="S52" s="22">
        <v>32</v>
      </c>
      <c r="T52" s="23">
        <v>0.29166666666666669</v>
      </c>
      <c r="U52" s="23">
        <v>0.38541666666666669</v>
      </c>
      <c r="V52" s="12"/>
      <c r="W52" s="12"/>
      <c r="X52" s="2"/>
      <c r="Y52" s="2">
        <f t="shared" si="4"/>
        <v>0</v>
      </c>
      <c r="Z52" s="2"/>
      <c r="AA52" s="2">
        <f t="shared" si="5"/>
        <v>1.4047619047619047</v>
      </c>
      <c r="AB52" s="8">
        <f t="shared" si="13"/>
        <v>2.25</v>
      </c>
      <c r="AC52" s="8">
        <f t="shared" si="7"/>
        <v>0.84523809523809534</v>
      </c>
      <c r="AD52" s="10">
        <f t="shared" si="8"/>
        <v>26.222222222222221</v>
      </c>
      <c r="AE52" s="2">
        <f t="shared" si="9"/>
        <v>72.11</v>
      </c>
      <c r="AF52" s="9">
        <f t="shared" si="10"/>
        <v>0.39830508474576259</v>
      </c>
      <c r="AG52" s="9">
        <f t="shared" si="11"/>
        <v>0.6243386243386243</v>
      </c>
      <c r="AH52" s="70">
        <f t="shared" si="12"/>
        <v>0.24867724867724858</v>
      </c>
      <c r="AI52"/>
    </row>
    <row r="53" spans="1:35" x14ac:dyDescent="0.25">
      <c r="A53" s="22">
        <v>9</v>
      </c>
      <c r="B53" s="24">
        <v>46079</v>
      </c>
      <c r="C53" s="1" t="s">
        <v>34</v>
      </c>
      <c r="D53" s="6"/>
      <c r="E53" s="4" t="s">
        <v>41</v>
      </c>
      <c r="F53" s="16" t="s">
        <v>36</v>
      </c>
      <c r="G53" s="22">
        <v>7034.55</v>
      </c>
      <c r="H53" s="22">
        <v>5596</v>
      </c>
      <c r="I53" s="22">
        <v>70</v>
      </c>
      <c r="J53" s="22"/>
      <c r="K53" s="22"/>
      <c r="L53" s="22"/>
      <c r="M53" s="22"/>
      <c r="N53" s="4" cm="1">
        <f t="array" ref="N53">_xlfn.IFS(E53="MOLINOS CHAMPION S.F",42,E53="PROPALCOL",42,E53="MASTERTEC",42,E53="GANADERIA OVIA",42,E53="ENGORDE",40,E53="DESCARTES",40,E53="REPRODUCTORA",10,E53="BAJO PESO",40,E53="CHICKENCORP",42)</f>
        <v>40</v>
      </c>
      <c r="O53" s="7">
        <f t="shared" si="0"/>
        <v>0.7955021998564229</v>
      </c>
      <c r="P53" s="4">
        <f t="shared" si="1"/>
        <v>100.49357142857143</v>
      </c>
      <c r="Q53" s="4">
        <f t="shared" si="2"/>
        <v>79.942857142857136</v>
      </c>
      <c r="R53" s="7">
        <f t="shared" si="3"/>
        <v>1</v>
      </c>
      <c r="S53" s="22">
        <v>30</v>
      </c>
      <c r="T53" s="23">
        <v>0.36458333333333331</v>
      </c>
      <c r="U53" s="23">
        <v>0.44097222222222221</v>
      </c>
      <c r="V53" s="12"/>
      <c r="W53" s="12"/>
      <c r="X53" s="2"/>
      <c r="Y53" s="2">
        <f t="shared" si="4"/>
        <v>0</v>
      </c>
      <c r="Z53" s="2"/>
      <c r="AA53" s="2">
        <f t="shared" si="5"/>
        <v>1.75</v>
      </c>
      <c r="AB53" s="8">
        <f t="shared" si="13"/>
        <v>1.8333333333333335</v>
      </c>
      <c r="AC53" s="8">
        <f t="shared" si="7"/>
        <v>8.3333333333333481E-2</v>
      </c>
      <c r="AD53" s="10">
        <f t="shared" si="8"/>
        <v>38.18181818181818</v>
      </c>
      <c r="AE53" s="2">
        <f t="shared" si="9"/>
        <v>101.75</v>
      </c>
      <c r="AF53" s="9">
        <f t="shared" si="10"/>
        <v>0.95238095238095233</v>
      </c>
      <c r="AG53" s="9">
        <f t="shared" si="11"/>
        <v>0.95454545454545447</v>
      </c>
      <c r="AH53" s="70">
        <f t="shared" si="12"/>
        <v>0.90909090909090895</v>
      </c>
      <c r="AI53"/>
    </row>
    <row r="54" spans="1:35" x14ac:dyDescent="0.25">
      <c r="A54" s="22">
        <v>9</v>
      </c>
      <c r="B54" s="24">
        <v>46080</v>
      </c>
      <c r="C54" s="1" t="s">
        <v>34</v>
      </c>
      <c r="D54" s="6"/>
      <c r="E54" s="4" t="s">
        <v>41</v>
      </c>
      <c r="F54" s="16" t="s">
        <v>36</v>
      </c>
      <c r="G54" s="22">
        <v>7052.9500000000007</v>
      </c>
      <c r="H54" s="22">
        <v>5546.9499999999989</v>
      </c>
      <c r="I54" s="22">
        <v>72</v>
      </c>
      <c r="J54" s="22"/>
      <c r="K54" s="22"/>
      <c r="L54" s="22"/>
      <c r="M54" s="22"/>
      <c r="N54" s="4" cm="1">
        <f t="array" ref="N54">_xlfn.IFS(E54="MOLINOS CHAMPION S.F",42,E54="PROPALCOL",42,E54="MASTERTEC",42,E54="GANADERIA OVIA",42,E54="ENGORDE",40,E54="DESCARTES",40,E54="REPRODUCTORA",10,E54="BAJO PESO",40,E54="CHICKENCORP",42)</f>
        <v>40</v>
      </c>
      <c r="O54" s="7">
        <f t="shared" si="0"/>
        <v>0.78647232718224269</v>
      </c>
      <c r="P54" s="4">
        <f t="shared" si="1"/>
        <v>97.957638888888894</v>
      </c>
      <c r="Q54" s="4">
        <f t="shared" si="2"/>
        <v>77.040972222222209</v>
      </c>
      <c r="R54" s="7">
        <f t="shared" si="3"/>
        <v>1</v>
      </c>
      <c r="S54" s="22">
        <v>30</v>
      </c>
      <c r="T54" s="23">
        <v>0.60416666666666663</v>
      </c>
      <c r="U54" s="23">
        <v>0.69791666666666663</v>
      </c>
      <c r="V54" s="12"/>
      <c r="W54" s="12"/>
      <c r="X54" s="2"/>
      <c r="Y54" s="2">
        <f t="shared" si="4"/>
        <v>0</v>
      </c>
      <c r="Z54" s="2"/>
      <c r="AA54" s="2">
        <f t="shared" si="5"/>
        <v>1.8</v>
      </c>
      <c r="AB54" s="8">
        <f t="shared" si="13"/>
        <v>2.25</v>
      </c>
      <c r="AC54" s="8">
        <f t="shared" si="7"/>
        <v>0.44999999999999996</v>
      </c>
      <c r="AD54" s="10">
        <f t="shared" si="8"/>
        <v>32</v>
      </c>
      <c r="AE54" s="2">
        <f t="shared" si="9"/>
        <v>82.18</v>
      </c>
      <c r="AF54" s="9">
        <f t="shared" si="10"/>
        <v>0.75</v>
      </c>
      <c r="AG54" s="9">
        <f t="shared" si="11"/>
        <v>0.8</v>
      </c>
      <c r="AH54" s="70">
        <f t="shared" si="12"/>
        <v>0.60000000000000009</v>
      </c>
      <c r="AI54"/>
    </row>
    <row r="55" spans="1:35" x14ac:dyDescent="0.25">
      <c r="A55" s="22">
        <v>9</v>
      </c>
      <c r="B55" s="24">
        <v>46081</v>
      </c>
      <c r="C55" s="17" t="s">
        <v>34</v>
      </c>
      <c r="D55" s="17">
        <v>274</v>
      </c>
      <c r="E55" s="19" t="s">
        <v>37</v>
      </c>
      <c r="F55" s="20" t="s">
        <v>36</v>
      </c>
      <c r="G55" s="22">
        <v>18761.25</v>
      </c>
      <c r="H55" s="22">
        <v>14717.049999999997</v>
      </c>
      <c r="I55" s="22">
        <v>180</v>
      </c>
      <c r="J55" s="22"/>
      <c r="K55" s="22"/>
      <c r="L55" s="22"/>
      <c r="M55" s="22"/>
      <c r="N55" s="4" cm="1">
        <f t="array" ref="N55">_xlfn.IFS(E55="MOLINOS CHAMPION S.F",42,E55="PROPALCOL",42,E55="MASTERTEC",42,E55="GANADERIA OVIA",42,E55="ENGORDE",40,E55="DESCARTES",40,E55="REPRODUCTORA",10,E55="BAJO PESO",40,E55="CHICKENCORP",42)</f>
        <v>40</v>
      </c>
      <c r="O55" s="7">
        <f t="shared" si="0"/>
        <v>0.78443867013125446</v>
      </c>
      <c r="P55" s="4">
        <f t="shared" si="1"/>
        <v>104.22916666666667</v>
      </c>
      <c r="Q55" s="4">
        <f t="shared" si="2"/>
        <v>81.761388888888874</v>
      </c>
      <c r="R55" s="7">
        <f t="shared" si="3"/>
        <v>1</v>
      </c>
      <c r="S55" s="22">
        <v>30</v>
      </c>
      <c r="T55" s="23">
        <v>0.60416666666666663</v>
      </c>
      <c r="U55" s="23">
        <v>0.69791666666666663</v>
      </c>
      <c r="V55" s="12"/>
      <c r="W55" s="12"/>
      <c r="X55" s="2"/>
      <c r="Y55" s="2">
        <f t="shared" si="4"/>
        <v>0</v>
      </c>
      <c r="Z55" s="2">
        <v>1</v>
      </c>
      <c r="AA55" s="2">
        <f t="shared" si="5"/>
        <v>4.5</v>
      </c>
      <c r="AB55" s="8">
        <f t="shared" si="13"/>
        <v>1.25</v>
      </c>
      <c r="AC55" s="8">
        <f t="shared" si="7"/>
        <v>0</v>
      </c>
      <c r="AD55" s="10">
        <f t="shared" si="8"/>
        <v>144</v>
      </c>
      <c r="AE55" s="2">
        <f t="shared" si="9"/>
        <v>392.45</v>
      </c>
      <c r="AF55" s="9">
        <f t="shared" si="10"/>
        <v>1</v>
      </c>
      <c r="AG55" s="9">
        <f t="shared" si="11"/>
        <v>1</v>
      </c>
      <c r="AH55" s="70">
        <f t="shared" si="12"/>
        <v>1</v>
      </c>
      <c r="AI55"/>
    </row>
    <row r="56" spans="1:35" x14ac:dyDescent="0.25">
      <c r="A56" s="22">
        <v>10</v>
      </c>
      <c r="B56" s="24">
        <v>46083</v>
      </c>
      <c r="C56" s="1" t="s">
        <v>34</v>
      </c>
      <c r="D56" s="1">
        <v>5470</v>
      </c>
      <c r="E56" s="4" t="s">
        <v>35</v>
      </c>
      <c r="F56" s="5" t="s">
        <v>36</v>
      </c>
      <c r="G56" s="22">
        <v>12572.400000000005</v>
      </c>
      <c r="H56" s="22">
        <v>9700.3999999999978</v>
      </c>
      <c r="I56" s="22">
        <v>120</v>
      </c>
      <c r="J56" s="22"/>
      <c r="K56" s="22"/>
      <c r="L56" s="22"/>
      <c r="M56" s="22"/>
      <c r="N56" s="4" cm="1">
        <f t="array" ref="N56">_xlfn.IFS(E56="MOLINOS CHAMPION S.F",42,E56="PROPALCOL",42,E56="MASTERTEC",42,E56="GANADERIA OVIA",42,E56="ENGORDE",40,E56="DESCARTES",40,E56="REPRODUCTORA",10,E56="BAJO PESO",40,E56="CHICKENCORP",42)</f>
        <v>42</v>
      </c>
      <c r="O56" s="7">
        <f t="shared" si="0"/>
        <v>0.77156310648722548</v>
      </c>
      <c r="P56" s="4">
        <f t="shared" si="1"/>
        <v>104.77000000000004</v>
      </c>
      <c r="Q56" s="4">
        <f t="shared" si="2"/>
        <v>80.836666666666645</v>
      </c>
      <c r="R56" s="7">
        <f t="shared" si="3"/>
        <v>1</v>
      </c>
      <c r="S56" s="22">
        <v>33</v>
      </c>
      <c r="T56" s="23">
        <v>0.29791666666666666</v>
      </c>
      <c r="U56" s="23">
        <v>0.41319444444444442</v>
      </c>
      <c r="V56" s="12"/>
      <c r="W56" s="12"/>
      <c r="X56" s="2"/>
      <c r="Y56" s="2">
        <f t="shared" si="4"/>
        <v>0</v>
      </c>
      <c r="Z56" s="2"/>
      <c r="AA56" s="2">
        <f t="shared" si="5"/>
        <v>2.8571428571428572</v>
      </c>
      <c r="AB56" s="8">
        <f t="shared" si="13"/>
        <v>2.7666666666666666</v>
      </c>
      <c r="AC56" s="8">
        <f t="shared" si="7"/>
        <v>0</v>
      </c>
      <c r="AD56" s="10">
        <f t="shared" si="8"/>
        <v>43.373493975903614</v>
      </c>
      <c r="AE56" s="2">
        <f t="shared" si="9"/>
        <v>106.25</v>
      </c>
      <c r="AF56" s="9">
        <f t="shared" si="10"/>
        <v>1</v>
      </c>
      <c r="AG56" s="9">
        <f t="shared" si="11"/>
        <v>1</v>
      </c>
      <c r="AH56" s="70">
        <f t="shared" si="12"/>
        <v>1</v>
      </c>
      <c r="AI56"/>
    </row>
    <row r="57" spans="1:35" x14ac:dyDescent="0.25">
      <c r="A57" s="22">
        <v>10</v>
      </c>
      <c r="B57" s="24">
        <v>46083</v>
      </c>
      <c r="C57" s="1" t="s">
        <v>34</v>
      </c>
      <c r="D57" s="1">
        <v>274</v>
      </c>
      <c r="E57" s="4" t="s">
        <v>37</v>
      </c>
      <c r="F57" s="5" t="s">
        <v>36</v>
      </c>
      <c r="G57" s="22">
        <v>233.35000000000002</v>
      </c>
      <c r="H57" s="22">
        <v>179.05</v>
      </c>
      <c r="I57" s="22">
        <v>2</v>
      </c>
      <c r="J57" s="22"/>
      <c r="K57" s="22"/>
      <c r="L57" s="22"/>
      <c r="M57" s="22"/>
      <c r="N57" s="4" cm="1">
        <f t="array" ref="N57">_xlfn.IFS(E57="MOLINOS CHAMPION S.F",42,E57="PROPALCOL",42,E57="MASTERTEC",42,E57="GANADERIA OVIA",42,E57="ENGORDE",40,E57="DESCARTES",40,E57="REPRODUCTORA",10,E57="BAJO PESO",40,E57="CHICKENCORP",42)</f>
        <v>40</v>
      </c>
      <c r="O57" s="7">
        <f t="shared" si="0"/>
        <v>0.76730233554746086</v>
      </c>
      <c r="P57" s="4">
        <f t="shared" si="1"/>
        <v>116.67500000000001</v>
      </c>
      <c r="Q57" s="4">
        <f t="shared" si="2"/>
        <v>89.525000000000006</v>
      </c>
      <c r="R57" s="7">
        <f t="shared" si="3"/>
        <v>1</v>
      </c>
      <c r="S57" s="22">
        <v>33</v>
      </c>
      <c r="T57" s="23">
        <v>0.40277777777777779</v>
      </c>
      <c r="U57" s="23">
        <v>0.49305555555555558</v>
      </c>
      <c r="V57" s="12"/>
      <c r="W57" s="12"/>
      <c r="X57" s="2"/>
      <c r="Y57" s="2">
        <f t="shared" si="4"/>
        <v>0</v>
      </c>
      <c r="Z57" s="2">
        <v>1</v>
      </c>
      <c r="AA57" s="2">
        <f t="shared" si="5"/>
        <v>0.05</v>
      </c>
      <c r="AB57" s="8">
        <f t="shared" si="13"/>
        <v>1.1666666666666665</v>
      </c>
      <c r="AC57" s="8">
        <f t="shared" si="7"/>
        <v>1.1166666666666665</v>
      </c>
      <c r="AD57" s="10">
        <f t="shared" si="8"/>
        <v>1.7142857142857144</v>
      </c>
      <c r="AE57" s="2">
        <f t="shared" si="9"/>
        <v>4.6500000000000004</v>
      </c>
      <c r="AF57" s="9">
        <f t="shared" si="10"/>
        <v>0</v>
      </c>
      <c r="AG57" s="9">
        <f t="shared" si="11"/>
        <v>4.2857142857142858E-2</v>
      </c>
      <c r="AH57" s="70">
        <f t="shared" si="12"/>
        <v>0</v>
      </c>
      <c r="AI57"/>
    </row>
    <row r="58" spans="1:35" x14ac:dyDescent="0.25">
      <c r="A58" s="22">
        <v>10</v>
      </c>
      <c r="B58" s="24">
        <v>46083</v>
      </c>
      <c r="C58" s="1" t="s">
        <v>38</v>
      </c>
      <c r="D58" s="6"/>
      <c r="E58" s="4" t="s">
        <v>39</v>
      </c>
      <c r="F58" s="5" t="s">
        <v>42</v>
      </c>
      <c r="G58" s="22">
        <v>4064.2500000000009</v>
      </c>
      <c r="H58" s="22">
        <v>3111.6000000000004</v>
      </c>
      <c r="I58" s="22">
        <v>18</v>
      </c>
      <c r="J58" s="22"/>
      <c r="K58" s="22"/>
      <c r="L58" s="22"/>
      <c r="M58" s="22"/>
      <c r="N58" s="4" cm="1">
        <f t="array" ref="N58">_xlfn.IFS(E58="MOLINOS CHAMPION S.F",42,E58="PROPALCOL",42,E58="MASTERTEC",42,E58="GANADERIA OVIA",42,E58="ENGORDE",40,E58="DESCARTES",40,E58="REPRODUCTORA",10,E58="BAJO PESO",40,E58="CHICKENCORP",42)</f>
        <v>10</v>
      </c>
      <c r="O58" s="7">
        <f t="shared" si="0"/>
        <v>0.76560250968813426</v>
      </c>
      <c r="P58" s="4">
        <f t="shared" si="1"/>
        <v>225.79166666666671</v>
      </c>
      <c r="Q58" s="4">
        <f t="shared" si="2"/>
        <v>172.86666666666667</v>
      </c>
      <c r="R58" s="7">
        <f t="shared" si="3"/>
        <v>1</v>
      </c>
      <c r="S58" s="22">
        <v>33</v>
      </c>
      <c r="T58" s="23">
        <v>0.40277777777777779</v>
      </c>
      <c r="U58" s="23">
        <v>0.49305555555555558</v>
      </c>
      <c r="V58" s="12"/>
      <c r="W58" s="12"/>
      <c r="X58" s="2"/>
      <c r="Y58" s="2">
        <f t="shared" si="4"/>
        <v>0</v>
      </c>
      <c r="Z58" s="2"/>
      <c r="AA58" s="2">
        <f t="shared" si="5"/>
        <v>1.8</v>
      </c>
      <c r="AB58" s="8">
        <f t="shared" si="13"/>
        <v>2.1666666666666665</v>
      </c>
      <c r="AC58" s="8">
        <f t="shared" si="7"/>
        <v>0.36666666666666647</v>
      </c>
      <c r="AD58" s="10">
        <f t="shared" si="8"/>
        <v>8.3076923076923084</v>
      </c>
      <c r="AE58" s="2">
        <f t="shared" si="9"/>
        <v>43.52</v>
      </c>
      <c r="AF58" s="9">
        <f t="shared" si="10"/>
        <v>0.79629629629629639</v>
      </c>
      <c r="AG58" s="9">
        <f t="shared" si="11"/>
        <v>0.83076923076923082</v>
      </c>
      <c r="AH58" s="70">
        <f t="shared" si="12"/>
        <v>0.66153846153846163</v>
      </c>
      <c r="AI58"/>
    </row>
    <row r="59" spans="1:35" x14ac:dyDescent="0.25">
      <c r="A59" s="22">
        <v>10</v>
      </c>
      <c r="B59" s="24">
        <v>46084</v>
      </c>
      <c r="C59" s="1" t="s">
        <v>34</v>
      </c>
      <c r="D59" s="1">
        <v>5470</v>
      </c>
      <c r="E59" s="4" t="s">
        <v>35</v>
      </c>
      <c r="F59" s="5" t="s">
        <v>36</v>
      </c>
      <c r="G59" s="22">
        <v>6547.7999999999975</v>
      </c>
      <c r="H59" s="22">
        <v>5100.3</v>
      </c>
      <c r="I59" s="22">
        <v>60</v>
      </c>
      <c r="J59" s="22"/>
      <c r="K59" s="22"/>
      <c r="L59" s="22"/>
      <c r="M59" s="22"/>
      <c r="N59" s="4" cm="1">
        <f t="array" ref="N59">_xlfn.IFS(E59="MOLINOS CHAMPION S.F",42,E59="PROPALCOL",42,E59="MASTERTEC",42,E59="GANADERIA OVIA",42,E59="ENGORDE",40,E59="DESCARTES",40,E59="REPRODUCTORA",10,E59="BAJO PESO",40,E59="CHICKENCORP",42)</f>
        <v>42</v>
      </c>
      <c r="O59" s="7">
        <f t="shared" si="0"/>
        <v>0.77893338220471031</v>
      </c>
      <c r="P59" s="4">
        <f t="shared" si="1"/>
        <v>109.12999999999995</v>
      </c>
      <c r="Q59" s="4">
        <f t="shared" si="2"/>
        <v>85.00500000000001</v>
      </c>
      <c r="R59" s="7">
        <f t="shared" si="3"/>
        <v>1</v>
      </c>
      <c r="S59" s="22">
        <v>32</v>
      </c>
      <c r="T59" s="23">
        <v>0.29166666666666669</v>
      </c>
      <c r="U59" s="23">
        <v>0.3923611111111111</v>
      </c>
      <c r="V59" s="12"/>
      <c r="W59" s="12"/>
      <c r="X59" s="2"/>
      <c r="Y59" s="2">
        <f t="shared" si="4"/>
        <v>0</v>
      </c>
      <c r="Z59" s="2"/>
      <c r="AA59" s="2">
        <f t="shared" si="5"/>
        <v>1.4285714285714286</v>
      </c>
      <c r="AB59" s="8">
        <f t="shared" si="13"/>
        <v>2.4166666666666665</v>
      </c>
      <c r="AC59" s="8">
        <f t="shared" si="7"/>
        <v>0.98809523809523792</v>
      </c>
      <c r="AD59" s="10">
        <f t="shared" si="8"/>
        <v>24.827586206896552</v>
      </c>
      <c r="AE59" s="2">
        <f t="shared" si="9"/>
        <v>65.95</v>
      </c>
      <c r="AF59" s="9">
        <f t="shared" si="10"/>
        <v>0.30833333333333346</v>
      </c>
      <c r="AG59" s="9">
        <f t="shared" si="11"/>
        <v>0.59113300492610832</v>
      </c>
      <c r="AH59" s="70">
        <f t="shared" si="12"/>
        <v>0.1822660098522168</v>
      </c>
      <c r="AI59"/>
    </row>
    <row r="60" spans="1:35" x14ac:dyDescent="0.25">
      <c r="A60" s="22">
        <v>10</v>
      </c>
      <c r="B60" s="24">
        <v>46084</v>
      </c>
      <c r="C60" s="1" t="s">
        <v>34</v>
      </c>
      <c r="D60" s="1">
        <v>274</v>
      </c>
      <c r="E60" s="4" t="s">
        <v>37</v>
      </c>
      <c r="F60" s="5" t="s">
        <v>36</v>
      </c>
      <c r="G60" s="22">
        <v>15371.400000000001</v>
      </c>
      <c r="H60" s="22">
        <v>11860.5</v>
      </c>
      <c r="I60" s="22">
        <v>168</v>
      </c>
      <c r="J60" s="22"/>
      <c r="K60" s="22"/>
      <c r="L60" s="22"/>
      <c r="M60" s="22"/>
      <c r="N60" s="4" cm="1">
        <f t="array" ref="N60">_xlfn.IFS(E60="MOLINOS CHAMPION S.F",42,E60="PROPALCOL",42,E60="MASTERTEC",42,E60="GANADERIA OVIA",42,E60="ENGORDE",40,E60="DESCARTES",40,E60="REPRODUCTORA",10,E60="BAJO PESO",40,E60="CHICKENCORP",42)</f>
        <v>40</v>
      </c>
      <c r="O60" s="7">
        <f t="shared" si="0"/>
        <v>0.77159530036301172</v>
      </c>
      <c r="P60" s="4">
        <f t="shared" si="1"/>
        <v>91.496428571428581</v>
      </c>
      <c r="Q60" s="4">
        <f t="shared" si="2"/>
        <v>70.598214285714292</v>
      </c>
      <c r="R60" s="7">
        <f t="shared" si="3"/>
        <v>1</v>
      </c>
      <c r="S60" s="22">
        <v>33</v>
      </c>
      <c r="T60" s="23">
        <v>0.3576388888888889</v>
      </c>
      <c r="U60" s="23">
        <v>0.60763888888888884</v>
      </c>
      <c r="V60" s="12"/>
      <c r="W60" s="12"/>
      <c r="X60" s="2"/>
      <c r="Y60" s="2">
        <f t="shared" si="4"/>
        <v>0</v>
      </c>
      <c r="Z60" s="2">
        <v>1</v>
      </c>
      <c r="AA60" s="2">
        <f t="shared" si="5"/>
        <v>4.2</v>
      </c>
      <c r="AB60" s="8">
        <f t="shared" si="13"/>
        <v>5</v>
      </c>
      <c r="AC60" s="8">
        <f t="shared" si="7"/>
        <v>0.79999999999999982</v>
      </c>
      <c r="AD60" s="10">
        <f t="shared" si="8"/>
        <v>33.6</v>
      </c>
      <c r="AE60" s="2">
        <f t="shared" si="9"/>
        <v>71.88</v>
      </c>
      <c r="AF60" s="9">
        <f t="shared" si="10"/>
        <v>0.80952380952380953</v>
      </c>
      <c r="AG60" s="9">
        <f t="shared" si="11"/>
        <v>0.84000000000000008</v>
      </c>
      <c r="AH60" s="70">
        <f t="shared" si="12"/>
        <v>0.68</v>
      </c>
      <c r="AI60"/>
    </row>
    <row r="61" spans="1:35" x14ac:dyDescent="0.25">
      <c r="A61" s="22">
        <v>10</v>
      </c>
      <c r="B61" s="24">
        <v>46085</v>
      </c>
      <c r="C61" s="1" t="s">
        <v>34</v>
      </c>
      <c r="D61" s="1">
        <v>5470</v>
      </c>
      <c r="E61" s="4" t="s">
        <v>35</v>
      </c>
      <c r="F61" s="5" t="s">
        <v>36</v>
      </c>
      <c r="G61" s="22">
        <v>6669.7999999999984</v>
      </c>
      <c r="H61" s="22">
        <v>5132.45</v>
      </c>
      <c r="I61" s="22">
        <v>60</v>
      </c>
      <c r="J61" s="22"/>
      <c r="K61" s="22"/>
      <c r="L61" s="22"/>
      <c r="M61" s="22"/>
      <c r="N61" s="4" cm="1">
        <f t="array" ref="N61">_xlfn.IFS(E61="MOLINOS CHAMPION S.F",42,E61="PROPALCOL",42,E61="MASTERTEC",42,E61="GANADERIA OVIA",42,E61="ENGORDE",40,E61="DESCARTES",40,E61="REPRODUCTORA",10,E61="BAJO PESO",40,E61="CHICKENCORP",42)</f>
        <v>42</v>
      </c>
      <c r="O61" s="7">
        <f t="shared" si="0"/>
        <v>0.76950583225883851</v>
      </c>
      <c r="P61" s="4">
        <f t="shared" si="1"/>
        <v>111.16333333333331</v>
      </c>
      <c r="Q61" s="4">
        <f t="shared" si="2"/>
        <v>85.540833333333325</v>
      </c>
      <c r="R61" s="7">
        <f t="shared" si="3"/>
        <v>1</v>
      </c>
      <c r="S61" s="22">
        <v>32</v>
      </c>
      <c r="T61" s="23">
        <v>0.2986111111111111</v>
      </c>
      <c r="U61" s="23">
        <v>0.43055555555555558</v>
      </c>
      <c r="V61" s="12"/>
      <c r="W61" s="12"/>
      <c r="X61" s="2"/>
      <c r="Y61" s="2">
        <f t="shared" si="4"/>
        <v>0</v>
      </c>
      <c r="Z61" s="2"/>
      <c r="AA61" s="2">
        <f t="shared" si="5"/>
        <v>1.4285714285714286</v>
      </c>
      <c r="AB61" s="8">
        <f t="shared" si="13"/>
        <v>3.1666666666666665</v>
      </c>
      <c r="AC61" s="8">
        <f t="shared" si="7"/>
        <v>1.7380952380952379</v>
      </c>
      <c r="AD61" s="10">
        <f t="shared" si="8"/>
        <v>18.947368421052634</v>
      </c>
      <c r="AE61" s="2">
        <f t="shared" si="9"/>
        <v>50.65</v>
      </c>
      <c r="AF61" s="9">
        <f t="shared" si="10"/>
        <v>0</v>
      </c>
      <c r="AG61" s="9">
        <f t="shared" si="11"/>
        <v>0.45112781954887221</v>
      </c>
      <c r="AH61" s="70">
        <f t="shared" si="12"/>
        <v>0</v>
      </c>
      <c r="AI61"/>
    </row>
    <row r="62" spans="1:35" x14ac:dyDescent="0.25">
      <c r="A62" s="22">
        <v>10</v>
      </c>
      <c r="B62" s="24">
        <v>46085</v>
      </c>
      <c r="C62" s="1" t="s">
        <v>34</v>
      </c>
      <c r="D62" s="1">
        <v>274</v>
      </c>
      <c r="E62" s="4" t="s">
        <v>37</v>
      </c>
      <c r="F62" s="5" t="s">
        <v>36</v>
      </c>
      <c r="G62" s="22">
        <v>19118.400000000001</v>
      </c>
      <c r="H62" s="22">
        <v>15311.100000000002</v>
      </c>
      <c r="I62" s="22">
        <v>177</v>
      </c>
      <c r="J62" s="22"/>
      <c r="K62" s="22"/>
      <c r="L62" s="22"/>
      <c r="M62" s="22"/>
      <c r="N62" s="4" cm="1">
        <f t="array" ref="N62">_xlfn.IFS(E62="MOLINOS CHAMPION S.F",42,E62="PROPALCOL",42,E62="MASTERTEC",42,E62="GANADERIA OVIA",42,E62="ENGORDE",40,E62="DESCARTES",40,E62="REPRODUCTORA",10,E62="BAJO PESO",40,E62="CHICKENCORP",42)</f>
        <v>40</v>
      </c>
      <c r="O62" s="7">
        <f t="shared" si="0"/>
        <v>0.80085676625659052</v>
      </c>
      <c r="P62" s="4">
        <f t="shared" si="1"/>
        <v>108.01355932203391</v>
      </c>
      <c r="Q62" s="4">
        <f t="shared" si="2"/>
        <v>86.503389830508482</v>
      </c>
      <c r="R62" s="7">
        <f t="shared" si="3"/>
        <v>1</v>
      </c>
      <c r="S62" s="22">
        <v>32</v>
      </c>
      <c r="T62" s="23">
        <v>0.41666666666666669</v>
      </c>
      <c r="U62" s="23">
        <v>0.70486111111111116</v>
      </c>
      <c r="V62" s="12"/>
      <c r="W62" s="12"/>
      <c r="X62" s="2"/>
      <c r="Y62" s="2">
        <f t="shared" si="4"/>
        <v>0</v>
      </c>
      <c r="Z62" s="2">
        <v>1</v>
      </c>
      <c r="AA62" s="2">
        <f t="shared" si="5"/>
        <v>4.4249999999999998</v>
      </c>
      <c r="AB62" s="8">
        <f t="shared" si="13"/>
        <v>5.916666666666667</v>
      </c>
      <c r="AC62" s="8">
        <f t="shared" si="7"/>
        <v>1.4916666666666671</v>
      </c>
      <c r="AD62" s="10">
        <f t="shared" si="8"/>
        <v>29.915492957746476</v>
      </c>
      <c r="AE62" s="2">
        <f t="shared" si="9"/>
        <v>80.87</v>
      </c>
      <c r="AF62" s="9">
        <f t="shared" si="10"/>
        <v>0.66290018832391706</v>
      </c>
      <c r="AG62" s="9">
        <f t="shared" si="11"/>
        <v>0.74788732394366186</v>
      </c>
      <c r="AH62" s="70">
        <f t="shared" si="12"/>
        <v>0.49577464788732384</v>
      </c>
      <c r="AI62"/>
    </row>
    <row r="63" spans="1:35" x14ac:dyDescent="0.25">
      <c r="A63" s="22">
        <v>10</v>
      </c>
      <c r="B63" s="24">
        <v>46086</v>
      </c>
      <c r="C63" s="1" t="s">
        <v>34</v>
      </c>
      <c r="D63" s="1">
        <v>274</v>
      </c>
      <c r="E63" s="4" t="s">
        <v>37</v>
      </c>
      <c r="F63" s="5" t="s">
        <v>36</v>
      </c>
      <c r="G63" s="22">
        <v>27362.799999999999</v>
      </c>
      <c r="H63" s="22">
        <v>21920.099999999991</v>
      </c>
      <c r="I63" s="22">
        <v>261</v>
      </c>
      <c r="J63" s="22"/>
      <c r="K63" s="22"/>
      <c r="L63" s="22"/>
      <c r="M63" s="22"/>
      <c r="N63" s="4" cm="1">
        <f t="array" ref="N63">_xlfn.IFS(E63="MOLINOS CHAMPION S.F",42,E63="PROPALCOL",42,E63="MASTERTEC",42,E63="GANADERIA OVIA",42,E63="ENGORDE",40,E63="DESCARTES",40,E63="REPRODUCTORA",10,E63="BAJO PESO",40,E63="CHICKENCORP",42)</f>
        <v>40</v>
      </c>
      <c r="O63" s="7">
        <f t="shared" si="0"/>
        <v>0.80109126259008556</v>
      </c>
      <c r="P63" s="4">
        <f t="shared" si="1"/>
        <v>104.83831417624521</v>
      </c>
      <c r="Q63" s="4">
        <f t="shared" si="2"/>
        <v>83.985057471264341</v>
      </c>
      <c r="R63" s="7">
        <f t="shared" si="3"/>
        <v>1</v>
      </c>
      <c r="S63" s="22">
        <v>33</v>
      </c>
      <c r="T63" s="23">
        <v>0.29166666666666669</v>
      </c>
      <c r="U63" s="23">
        <v>0.57986111111111116</v>
      </c>
      <c r="V63" s="12"/>
      <c r="W63" s="12"/>
      <c r="X63" s="2"/>
      <c r="Y63" s="2">
        <f t="shared" si="4"/>
        <v>0</v>
      </c>
      <c r="Z63" s="2">
        <v>1</v>
      </c>
      <c r="AA63" s="2">
        <f t="shared" si="5"/>
        <v>6.5250000000000004</v>
      </c>
      <c r="AB63" s="8">
        <f t="shared" si="13"/>
        <v>5.916666666666667</v>
      </c>
      <c r="AC63" s="8">
        <f t="shared" si="7"/>
        <v>0</v>
      </c>
      <c r="AD63" s="10">
        <f t="shared" si="8"/>
        <v>44.112676056338024</v>
      </c>
      <c r="AE63" s="2">
        <f t="shared" si="9"/>
        <v>112.27</v>
      </c>
      <c r="AF63" s="9">
        <f t="shared" si="10"/>
        <v>1</v>
      </c>
      <c r="AG63" s="9">
        <f t="shared" si="11"/>
        <v>1</v>
      </c>
      <c r="AH63" s="70">
        <f t="shared" si="12"/>
        <v>1</v>
      </c>
      <c r="AI63"/>
    </row>
    <row r="64" spans="1:35" x14ac:dyDescent="0.25">
      <c r="A64" s="22">
        <v>10</v>
      </c>
      <c r="B64" s="24">
        <v>46087</v>
      </c>
      <c r="C64" s="1" t="s">
        <v>34</v>
      </c>
      <c r="D64" s="1">
        <v>274</v>
      </c>
      <c r="E64" s="4" t="s">
        <v>37</v>
      </c>
      <c r="F64" s="5" t="s">
        <v>36</v>
      </c>
      <c r="G64" s="22">
        <v>10730.45</v>
      </c>
      <c r="H64" s="22">
        <v>8563.31</v>
      </c>
      <c r="I64" s="22">
        <v>110</v>
      </c>
      <c r="J64" s="22"/>
      <c r="K64" s="22"/>
      <c r="L64" s="22"/>
      <c r="M64" s="22"/>
      <c r="N64" s="4" cm="1">
        <f t="array" ref="N64">_xlfn.IFS(E64="MOLINOS CHAMPION S.F",42,E64="PROPALCOL",42,E64="MASTERTEC",42,E64="GANADERIA OVIA",42,E64="ENGORDE",40,E64="DESCARTES",40,E64="REPRODUCTORA",10,E64="BAJO PESO",40,E64="CHICKENCORP",42)</f>
        <v>40</v>
      </c>
      <c r="O64" s="7">
        <f t="shared" si="0"/>
        <v>0.79803829289545158</v>
      </c>
      <c r="P64" s="4">
        <f t="shared" si="1"/>
        <v>97.549545454545466</v>
      </c>
      <c r="Q64" s="4">
        <f t="shared" si="2"/>
        <v>77.848272727272729</v>
      </c>
      <c r="R64" s="7">
        <f t="shared" si="3"/>
        <v>1</v>
      </c>
      <c r="S64" s="22">
        <v>32</v>
      </c>
      <c r="T64" s="23">
        <v>0.52083333333333337</v>
      </c>
      <c r="U64" s="23">
        <v>0.62847222222222221</v>
      </c>
      <c r="V64" s="12"/>
      <c r="W64" s="12"/>
      <c r="X64" s="2"/>
      <c r="Y64" s="2">
        <f t="shared" si="4"/>
        <v>0</v>
      </c>
      <c r="Z64" s="2">
        <v>1</v>
      </c>
      <c r="AA64" s="2">
        <f t="shared" si="5"/>
        <v>2.75</v>
      </c>
      <c r="AB64" s="8">
        <f t="shared" si="13"/>
        <v>1.5833333333333335</v>
      </c>
      <c r="AC64" s="8">
        <f t="shared" si="7"/>
        <v>0</v>
      </c>
      <c r="AD64" s="10">
        <f t="shared" si="8"/>
        <v>69.473684210526315</v>
      </c>
      <c r="AE64" s="2">
        <f t="shared" si="9"/>
        <v>169.01</v>
      </c>
      <c r="AF64" s="9">
        <f t="shared" si="10"/>
        <v>1</v>
      </c>
      <c r="AG64" s="9">
        <f t="shared" si="11"/>
        <v>1</v>
      </c>
      <c r="AH64" s="70">
        <f t="shared" si="12"/>
        <v>1</v>
      </c>
      <c r="AI64"/>
    </row>
    <row r="65" spans="1:35" x14ac:dyDescent="0.25">
      <c r="A65" s="22">
        <v>10</v>
      </c>
      <c r="B65" s="24">
        <v>46088</v>
      </c>
      <c r="C65" s="1" t="s">
        <v>34</v>
      </c>
      <c r="D65" s="1">
        <v>274</v>
      </c>
      <c r="E65" s="4" t="s">
        <v>37</v>
      </c>
      <c r="F65" s="5" t="s">
        <v>36</v>
      </c>
      <c r="G65" s="22">
        <v>3581.45</v>
      </c>
      <c r="H65" s="22">
        <v>2699.75</v>
      </c>
      <c r="I65" s="22">
        <v>35</v>
      </c>
      <c r="J65" s="22"/>
      <c r="K65" s="22"/>
      <c r="L65" s="22"/>
      <c r="M65" s="22"/>
      <c r="N65" s="4" cm="1">
        <f t="array" ref="N65">_xlfn.IFS(E65="MOLINOS CHAMPION S.F",42,E65="PROPALCOL",42,E65="MASTERTEC",42,E65="GANADERIA OVIA",42,E65="ENGORDE",40,E65="DESCARTES",40,E65="REPRODUCTORA",10,E65="BAJO PESO",40,E65="CHICKENCORP",42)</f>
        <v>40</v>
      </c>
      <c r="O65" s="7">
        <f t="shared" si="0"/>
        <v>0.75381479568331267</v>
      </c>
      <c r="P65" s="4">
        <f t="shared" si="1"/>
        <v>102.32714285714285</v>
      </c>
      <c r="Q65" s="4">
        <f t="shared" si="2"/>
        <v>77.135714285714286</v>
      </c>
      <c r="R65" s="7">
        <f t="shared" si="3"/>
        <v>1</v>
      </c>
      <c r="S65" s="22">
        <v>36</v>
      </c>
      <c r="T65" s="23">
        <v>0.29166666666666669</v>
      </c>
      <c r="U65" s="23">
        <v>0.35833333333333334</v>
      </c>
      <c r="V65" s="12"/>
      <c r="W65" s="12"/>
      <c r="X65" s="2"/>
      <c r="Y65" s="2">
        <f t="shared" si="4"/>
        <v>0</v>
      </c>
      <c r="Z65" s="2"/>
      <c r="AA65" s="2">
        <f t="shared" si="5"/>
        <v>0.875</v>
      </c>
      <c r="AB65" s="8">
        <f t="shared" si="13"/>
        <v>1.6</v>
      </c>
      <c r="AC65" s="8">
        <f t="shared" si="7"/>
        <v>0.72500000000000009</v>
      </c>
      <c r="AD65" s="10">
        <f t="shared" si="8"/>
        <v>21.875</v>
      </c>
      <c r="AE65" s="2">
        <f t="shared" si="9"/>
        <v>46.87</v>
      </c>
      <c r="AF65" s="9">
        <f t="shared" si="10"/>
        <v>0.17142857142857132</v>
      </c>
      <c r="AG65" s="9">
        <f t="shared" si="11"/>
        <v>0.546875</v>
      </c>
      <c r="AH65" s="70">
        <f t="shared" si="12"/>
        <v>9.3749999999999944E-2</v>
      </c>
      <c r="AI65"/>
    </row>
    <row r="66" spans="1:35" x14ac:dyDescent="0.25">
      <c r="A66" s="22">
        <v>11</v>
      </c>
      <c r="B66" s="24">
        <v>46090</v>
      </c>
      <c r="C66" s="1" t="s">
        <v>34</v>
      </c>
      <c r="D66" s="1">
        <v>5470</v>
      </c>
      <c r="E66" s="4" t="s">
        <v>35</v>
      </c>
      <c r="F66" s="5" t="s">
        <v>36</v>
      </c>
      <c r="G66" s="22">
        <v>12813.849999999999</v>
      </c>
      <c r="H66" s="22">
        <v>9824.9000000000015</v>
      </c>
      <c r="I66" s="22">
        <v>120</v>
      </c>
      <c r="J66" s="22"/>
      <c r="K66" s="22"/>
      <c r="L66" s="22"/>
      <c r="M66" s="22"/>
      <c r="N66" s="4" cm="1">
        <f t="array" ref="N66">_xlfn.IFS(E66="MOLINOS CHAMPION S.F",42,E66="PROPALCOL",42,E66="MASTERTEC",42,E66="GANADERIA OVIA",42,E66="ENGORDE",40,E66="DESCARTES",40,E66="REPRODUCTORA",10,E66="BAJO PESO",40,E66="CHICKENCORP",42)</f>
        <v>42</v>
      </c>
      <c r="O66" s="7">
        <f t="shared" ref="O66:O129" si="14">IFERROR(H66/G66," ")</f>
        <v>0.76674067512886468</v>
      </c>
      <c r="P66" s="4">
        <f t="shared" ref="P66:P129" si="15">IFERROR(G66/I66," ")</f>
        <v>106.78208333333332</v>
      </c>
      <c r="Q66" s="4">
        <f t="shared" ref="Q66:Q129" si="16">IFERROR(H66/I66," ")</f>
        <v>81.874166666666682</v>
      </c>
      <c r="R66" s="7">
        <f t="shared" ref="R66:R129" si="17">IF(I66=0,0,(I66-J66)/I66)</f>
        <v>1</v>
      </c>
      <c r="S66" s="22">
        <v>28</v>
      </c>
      <c r="T66" s="23">
        <v>0.29166666666666669</v>
      </c>
      <c r="U66" s="23">
        <v>0.41875000000000001</v>
      </c>
      <c r="V66" s="12"/>
      <c r="W66" s="12"/>
      <c r="X66" s="2"/>
      <c r="Y66" s="2">
        <f t="shared" ref="Y66:Y129" si="18">(HOUR(W66-V66)+MINUTE(W66-V66)/60)</f>
        <v>0</v>
      </c>
      <c r="Z66" s="2"/>
      <c r="AA66" s="2">
        <f t="shared" ref="AA66:AA129" si="19">I66/N66</f>
        <v>2.8571428571428572</v>
      </c>
      <c r="AB66" s="8">
        <f t="shared" ref="AB66:AB97" si="20">(HOUR(U66-T66)+MINUTE(U66-T66)/60)-Z66-Y66</f>
        <v>3.05</v>
      </c>
      <c r="AC66" s="8">
        <f t="shared" ref="AC66:AC129" si="21">IF(AB66&gt;AA66,AB66-AA66,0)</f>
        <v>0.19285714285714262</v>
      </c>
      <c r="AD66" s="10">
        <f t="shared" ref="AD66:AD129" si="22">I66/AB66</f>
        <v>39.344262295081968</v>
      </c>
      <c r="AE66" s="2">
        <f t="shared" ref="AE66:AE129" si="23">ROUND(H66/AB66/S66,2)</f>
        <v>115.05</v>
      </c>
      <c r="AF66" s="9">
        <f t="shared" ref="AF66:AF129" si="24">IF(AA66-AC66&lt;0,0,(AA66-AC66)/AA66)</f>
        <v>0.93250000000000011</v>
      </c>
      <c r="AG66" s="9">
        <f t="shared" ref="AG66:AG129" si="25">IFERROR(MIN(AD66/N66,1),0)</f>
        <v>0.93676814988290402</v>
      </c>
      <c r="AH66" s="70">
        <f t="shared" ref="AH66:AH129" si="26">R66*AF66*AG66</f>
        <v>0.87353629976580816</v>
      </c>
      <c r="AI66"/>
    </row>
    <row r="67" spans="1:35" x14ac:dyDescent="0.25">
      <c r="A67" s="22">
        <v>11</v>
      </c>
      <c r="B67" s="24">
        <v>46090</v>
      </c>
      <c r="C67" s="1" t="s">
        <v>34</v>
      </c>
      <c r="D67" s="1">
        <v>274</v>
      </c>
      <c r="E67" s="4" t="s">
        <v>37</v>
      </c>
      <c r="F67" s="5" t="s">
        <v>36</v>
      </c>
      <c r="G67" s="22">
        <v>24509</v>
      </c>
      <c r="H67" s="22">
        <v>19703.399999999994</v>
      </c>
      <c r="I67" s="22">
        <v>237</v>
      </c>
      <c r="J67" s="22"/>
      <c r="K67" s="22"/>
      <c r="L67" s="22"/>
      <c r="M67" s="22"/>
      <c r="N67" s="4" cm="1">
        <f t="array" ref="N67">_xlfn.IFS(E67="MOLINOS CHAMPION S.F",42,E67="PROPALCOL",42,E67="MASTERTEC",42,E67="GANADERIA OVIA",42,E67="ENGORDE",40,E67="DESCARTES",40,E67="REPRODUCTORA",10,E67="BAJO PESO",40,E67="CHICKENCORP",42)</f>
        <v>40</v>
      </c>
      <c r="O67" s="7">
        <f t="shared" si="14"/>
        <v>0.80392508874291058</v>
      </c>
      <c r="P67" s="4">
        <f t="shared" si="15"/>
        <v>103.41350210970464</v>
      </c>
      <c r="Q67" s="4">
        <f t="shared" si="16"/>
        <v>83.13670886075947</v>
      </c>
      <c r="R67" s="7">
        <f t="shared" si="17"/>
        <v>1</v>
      </c>
      <c r="S67" s="22">
        <v>35</v>
      </c>
      <c r="T67" s="23">
        <v>0.40277777777777779</v>
      </c>
      <c r="U67" s="23">
        <v>0.65625</v>
      </c>
      <c r="V67" s="12"/>
      <c r="W67" s="12"/>
      <c r="X67" s="2"/>
      <c r="Y67" s="2">
        <f t="shared" si="18"/>
        <v>0</v>
      </c>
      <c r="Z67" s="2"/>
      <c r="AA67" s="2">
        <f t="shared" si="19"/>
        <v>5.9249999999999998</v>
      </c>
      <c r="AB67" s="8">
        <f t="shared" si="20"/>
        <v>6.083333333333333</v>
      </c>
      <c r="AC67" s="8">
        <f t="shared" si="21"/>
        <v>0.15833333333333321</v>
      </c>
      <c r="AD67" s="10">
        <f t="shared" si="22"/>
        <v>38.958904109589042</v>
      </c>
      <c r="AE67" s="2">
        <f t="shared" si="23"/>
        <v>92.54</v>
      </c>
      <c r="AF67" s="9">
        <f t="shared" si="24"/>
        <v>0.97327707454289736</v>
      </c>
      <c r="AG67" s="9">
        <f t="shared" si="25"/>
        <v>0.97397260273972608</v>
      </c>
      <c r="AH67" s="70">
        <f t="shared" si="26"/>
        <v>0.94794520547945216</v>
      </c>
      <c r="AI67"/>
    </row>
    <row r="68" spans="1:35" x14ac:dyDescent="0.25">
      <c r="A68" s="22">
        <v>11</v>
      </c>
      <c r="B68" s="24">
        <v>46090</v>
      </c>
      <c r="C68" s="1" t="s">
        <v>38</v>
      </c>
      <c r="D68" s="6"/>
      <c r="E68" s="4" t="s">
        <v>39</v>
      </c>
      <c r="F68" s="5" t="s">
        <v>42</v>
      </c>
      <c r="G68" s="22">
        <v>4206.2500000000009</v>
      </c>
      <c r="H68" s="22">
        <v>3219.9500000000003</v>
      </c>
      <c r="I68" s="22">
        <v>20</v>
      </c>
      <c r="J68" s="22"/>
      <c r="K68" s="22"/>
      <c r="L68" s="22"/>
      <c r="M68" s="22"/>
      <c r="N68" s="4" cm="1">
        <f t="array" ref="N68">_xlfn.IFS(E68="MOLINOS CHAMPION S.F",42,E68="PROPALCOL",42,E68="MASTERTEC",42,E68="GANADERIA OVIA",42,E68="ENGORDE",40,E68="DESCARTES",40,E68="REPRODUCTORA",10,E68="BAJO PESO",40,E68="CHICKENCORP",42)</f>
        <v>10</v>
      </c>
      <c r="O68" s="7">
        <f t="shared" si="14"/>
        <v>0.76551560178306077</v>
      </c>
      <c r="P68" s="4">
        <f t="shared" si="15"/>
        <v>210.31250000000006</v>
      </c>
      <c r="Q68" s="4">
        <f t="shared" si="16"/>
        <v>160.9975</v>
      </c>
      <c r="R68" s="7">
        <f t="shared" si="17"/>
        <v>1</v>
      </c>
      <c r="S68" s="22">
        <v>35</v>
      </c>
      <c r="T68" s="23">
        <v>0.62847222222222221</v>
      </c>
      <c r="U68" s="23">
        <v>0.71527777777777779</v>
      </c>
      <c r="V68" s="12"/>
      <c r="W68" s="12"/>
      <c r="X68" s="2"/>
      <c r="Y68" s="2">
        <f t="shared" si="18"/>
        <v>0</v>
      </c>
      <c r="Z68" s="2"/>
      <c r="AA68" s="2">
        <f t="shared" si="19"/>
        <v>2</v>
      </c>
      <c r="AB68" s="8">
        <f t="shared" si="20"/>
        <v>2.0833333333333335</v>
      </c>
      <c r="AC68" s="8">
        <f t="shared" si="21"/>
        <v>8.3333333333333481E-2</v>
      </c>
      <c r="AD68" s="10">
        <f t="shared" si="22"/>
        <v>9.6</v>
      </c>
      <c r="AE68" s="2">
        <f t="shared" si="23"/>
        <v>44.16</v>
      </c>
      <c r="AF68" s="9">
        <f t="shared" si="24"/>
        <v>0.95833333333333326</v>
      </c>
      <c r="AG68" s="9">
        <f t="shared" si="25"/>
        <v>0.96</v>
      </c>
      <c r="AH68" s="70">
        <f t="shared" si="26"/>
        <v>0.91999999999999993</v>
      </c>
      <c r="AI68"/>
    </row>
    <row r="69" spans="1:35" x14ac:dyDescent="0.25">
      <c r="A69" s="22">
        <v>11</v>
      </c>
      <c r="B69" s="24">
        <v>46091</v>
      </c>
      <c r="C69" s="1" t="s">
        <v>34</v>
      </c>
      <c r="D69" s="1">
        <v>5470</v>
      </c>
      <c r="E69" s="4" t="s">
        <v>35</v>
      </c>
      <c r="F69" s="5" t="s">
        <v>36</v>
      </c>
      <c r="G69" s="22">
        <v>6858.9499999999989</v>
      </c>
      <c r="H69" s="22">
        <v>5224.0999999999995</v>
      </c>
      <c r="I69" s="22">
        <v>60</v>
      </c>
      <c r="J69" s="22"/>
      <c r="K69" s="22"/>
      <c r="L69" s="22"/>
      <c r="M69" s="22"/>
      <c r="N69" s="4" cm="1">
        <f t="array" ref="N69">_xlfn.IFS(E69="MOLINOS CHAMPION S.F",42,E69="PROPALCOL",42,E69="MASTERTEC",42,E69="GANADERIA OVIA",42,E69="ENGORDE",40,E69="DESCARTES",40,E69="REPRODUCTORA",10,E69="BAJO PESO",40,E69="CHICKENCORP",42)</f>
        <v>42</v>
      </c>
      <c r="O69" s="7">
        <f t="shared" si="14"/>
        <v>0.76164719089656585</v>
      </c>
      <c r="P69" s="4">
        <f t="shared" si="15"/>
        <v>114.31583333333332</v>
      </c>
      <c r="Q69" s="4">
        <f t="shared" si="16"/>
        <v>87.068333333333328</v>
      </c>
      <c r="R69" s="7">
        <f t="shared" si="17"/>
        <v>1</v>
      </c>
      <c r="S69" s="22">
        <v>35</v>
      </c>
      <c r="T69" s="23">
        <v>0.29166666666666669</v>
      </c>
      <c r="U69" s="23">
        <v>0.37152777777777779</v>
      </c>
      <c r="V69" s="12"/>
      <c r="W69" s="12"/>
      <c r="X69" s="2"/>
      <c r="Y69" s="2">
        <f t="shared" si="18"/>
        <v>0</v>
      </c>
      <c r="Z69" s="2"/>
      <c r="AA69" s="2">
        <f t="shared" si="19"/>
        <v>1.4285714285714286</v>
      </c>
      <c r="AB69" s="8">
        <f t="shared" si="20"/>
        <v>1.9166666666666665</v>
      </c>
      <c r="AC69" s="8">
        <f t="shared" si="21"/>
        <v>0.48809523809523792</v>
      </c>
      <c r="AD69" s="10">
        <f t="shared" si="22"/>
        <v>31.304347826086961</v>
      </c>
      <c r="AE69" s="2">
        <f t="shared" si="23"/>
        <v>77.87</v>
      </c>
      <c r="AF69" s="9">
        <f t="shared" si="24"/>
        <v>0.65833333333333344</v>
      </c>
      <c r="AG69" s="9">
        <f t="shared" si="25"/>
        <v>0.74534161490683237</v>
      </c>
      <c r="AH69" s="70">
        <f t="shared" si="26"/>
        <v>0.49068322981366475</v>
      </c>
      <c r="AI69"/>
    </row>
    <row r="70" spans="1:35" x14ac:dyDescent="0.25">
      <c r="A70" s="22">
        <v>11</v>
      </c>
      <c r="B70" s="24">
        <v>46091</v>
      </c>
      <c r="C70" s="1" t="s">
        <v>34</v>
      </c>
      <c r="D70" s="1">
        <v>274</v>
      </c>
      <c r="E70" s="4" t="s">
        <v>37</v>
      </c>
      <c r="F70" s="5" t="s">
        <v>36</v>
      </c>
      <c r="G70" s="22">
        <v>26850.35</v>
      </c>
      <c r="H70" s="22">
        <v>21215.100000000013</v>
      </c>
      <c r="I70" s="22">
        <v>241</v>
      </c>
      <c r="J70" s="22"/>
      <c r="K70" s="22"/>
      <c r="L70" s="22"/>
      <c r="M70" s="22"/>
      <c r="N70" s="4" cm="1">
        <f t="array" ref="N70">_xlfn.IFS(E70="MOLINOS CHAMPION S.F",42,E70="PROPALCOL",42,E70="MASTERTEC",42,E70="GANADERIA OVIA",42,E70="ENGORDE",40,E70="DESCARTES",40,E70="REPRODUCTORA",10,E70="BAJO PESO",40,E70="CHICKENCORP",42)</f>
        <v>40</v>
      </c>
      <c r="O70" s="7">
        <f t="shared" si="14"/>
        <v>0.79012377864720629</v>
      </c>
      <c r="P70" s="4">
        <f t="shared" si="15"/>
        <v>111.41224066390041</v>
      </c>
      <c r="Q70" s="4">
        <f t="shared" si="16"/>
        <v>88.029460580912911</v>
      </c>
      <c r="R70" s="7">
        <f t="shared" si="17"/>
        <v>1</v>
      </c>
      <c r="S70" s="22">
        <v>35</v>
      </c>
      <c r="T70" s="23">
        <v>0.35416666666666669</v>
      </c>
      <c r="U70" s="23">
        <v>0.64583333333333337</v>
      </c>
      <c r="V70" s="12"/>
      <c r="W70" s="12"/>
      <c r="X70" s="2"/>
      <c r="Y70" s="2">
        <f t="shared" si="18"/>
        <v>0</v>
      </c>
      <c r="Z70" s="2"/>
      <c r="AA70" s="2">
        <f t="shared" si="19"/>
        <v>6.0250000000000004</v>
      </c>
      <c r="AB70" s="8">
        <f t="shared" si="20"/>
        <v>7</v>
      </c>
      <c r="AC70" s="8">
        <f t="shared" si="21"/>
        <v>0.97499999999999964</v>
      </c>
      <c r="AD70" s="10">
        <f t="shared" si="22"/>
        <v>34.428571428571431</v>
      </c>
      <c r="AE70" s="2">
        <f t="shared" si="23"/>
        <v>86.59</v>
      </c>
      <c r="AF70" s="9">
        <f t="shared" si="24"/>
        <v>0.83817427385892118</v>
      </c>
      <c r="AG70" s="9">
        <f t="shared" si="25"/>
        <v>0.86071428571428577</v>
      </c>
      <c r="AH70" s="70">
        <f t="shared" si="26"/>
        <v>0.72142857142857153</v>
      </c>
      <c r="AI70"/>
    </row>
    <row r="71" spans="1:35" x14ac:dyDescent="0.25">
      <c r="A71" s="22">
        <v>11</v>
      </c>
      <c r="B71" s="24">
        <v>46092</v>
      </c>
      <c r="C71" s="1" t="s">
        <v>34</v>
      </c>
      <c r="D71" s="1">
        <v>5470</v>
      </c>
      <c r="E71" s="4" t="s">
        <v>35</v>
      </c>
      <c r="F71" s="5" t="s">
        <v>36</v>
      </c>
      <c r="G71" s="22">
        <v>6774.4499999999962</v>
      </c>
      <c r="H71" s="22">
        <v>5175.6000000000004</v>
      </c>
      <c r="I71" s="22">
        <v>60</v>
      </c>
      <c r="J71" s="22"/>
      <c r="K71" s="22"/>
      <c r="L71" s="22"/>
      <c r="M71" s="22"/>
      <c r="N71" s="4" cm="1">
        <f t="array" ref="N71">_xlfn.IFS(E71="MOLINOS CHAMPION S.F",42,E71="PROPALCOL",42,E71="MASTERTEC",42,E71="GANADERIA OVIA",42,E71="ENGORDE",40,E71="DESCARTES",40,E71="REPRODUCTORA",10,E71="BAJO PESO",40,E71="CHICKENCORP",42)</f>
        <v>42</v>
      </c>
      <c r="O71" s="7">
        <f t="shared" si="14"/>
        <v>0.76398822044594072</v>
      </c>
      <c r="P71" s="4">
        <f t="shared" si="15"/>
        <v>112.90749999999994</v>
      </c>
      <c r="Q71" s="4">
        <f t="shared" si="16"/>
        <v>86.26</v>
      </c>
      <c r="R71" s="7">
        <f t="shared" si="17"/>
        <v>1</v>
      </c>
      <c r="S71" s="22">
        <v>32</v>
      </c>
      <c r="T71" s="23">
        <v>0.2986111111111111</v>
      </c>
      <c r="U71" s="23">
        <v>0.37847222222222221</v>
      </c>
      <c r="V71" s="12"/>
      <c r="W71" s="12"/>
      <c r="X71" s="2"/>
      <c r="Y71" s="2">
        <f t="shared" si="18"/>
        <v>0</v>
      </c>
      <c r="Z71" s="2"/>
      <c r="AA71" s="2">
        <f t="shared" si="19"/>
        <v>1.4285714285714286</v>
      </c>
      <c r="AB71" s="8">
        <f t="shared" si="20"/>
        <v>1.9166666666666665</v>
      </c>
      <c r="AC71" s="8">
        <f t="shared" si="21"/>
        <v>0.48809523809523792</v>
      </c>
      <c r="AD71" s="10">
        <f t="shared" si="22"/>
        <v>31.304347826086961</v>
      </c>
      <c r="AE71" s="2">
        <f t="shared" si="23"/>
        <v>84.38</v>
      </c>
      <c r="AF71" s="9">
        <f t="shared" si="24"/>
        <v>0.65833333333333344</v>
      </c>
      <c r="AG71" s="9">
        <f t="shared" si="25"/>
        <v>0.74534161490683237</v>
      </c>
      <c r="AH71" s="70">
        <f t="shared" si="26"/>
        <v>0.49068322981366475</v>
      </c>
      <c r="AI71"/>
    </row>
    <row r="72" spans="1:35" x14ac:dyDescent="0.25">
      <c r="A72" s="22">
        <v>11</v>
      </c>
      <c r="B72" s="24">
        <v>46092</v>
      </c>
      <c r="C72" s="1" t="s">
        <v>34</v>
      </c>
      <c r="D72" s="1">
        <v>274</v>
      </c>
      <c r="E72" s="4" t="s">
        <v>37</v>
      </c>
      <c r="F72" s="5" t="s">
        <v>36</v>
      </c>
      <c r="G72" s="22">
        <v>29905.900000000005</v>
      </c>
      <c r="H72" s="22">
        <v>24132.050000000025</v>
      </c>
      <c r="I72" s="22">
        <v>285</v>
      </c>
      <c r="J72" s="22">
        <v>150</v>
      </c>
      <c r="K72" s="22" t="s">
        <v>43</v>
      </c>
      <c r="L72" s="22"/>
      <c r="M72" s="22"/>
      <c r="N72" s="4" cm="1">
        <f t="array" ref="N72">_xlfn.IFS(E72="MOLINOS CHAMPION S.F",42,E72="PROPALCOL",42,E72="MASTERTEC",42,E72="GANADERIA OVIA",42,E72="ENGORDE",40,E72="DESCARTES",40,E72="REPRODUCTORA",10,E72="BAJO PESO",40,E72="CHICKENCORP",42)</f>
        <v>40</v>
      </c>
      <c r="O72" s="7">
        <f t="shared" si="14"/>
        <v>0.80693274571238516</v>
      </c>
      <c r="P72" s="4">
        <f t="shared" si="15"/>
        <v>104.93298245614037</v>
      </c>
      <c r="Q72" s="4">
        <f t="shared" si="16"/>
        <v>84.673859649122889</v>
      </c>
      <c r="R72" s="7">
        <f t="shared" si="17"/>
        <v>0.47368421052631576</v>
      </c>
      <c r="S72" s="22">
        <v>33</v>
      </c>
      <c r="T72" s="23">
        <v>0.35972222222222222</v>
      </c>
      <c r="U72" s="23">
        <v>0.61041666666666672</v>
      </c>
      <c r="V72" s="12"/>
      <c r="W72" s="12"/>
      <c r="X72" s="2"/>
      <c r="Y72" s="2">
        <f t="shared" si="18"/>
        <v>0</v>
      </c>
      <c r="Z72" s="2">
        <v>1</v>
      </c>
      <c r="AA72" s="2">
        <f t="shared" si="19"/>
        <v>7.125</v>
      </c>
      <c r="AB72" s="8">
        <f t="shared" si="20"/>
        <v>5.0166666666666666</v>
      </c>
      <c r="AC72" s="8">
        <f t="shared" si="21"/>
        <v>0</v>
      </c>
      <c r="AD72" s="10">
        <f t="shared" si="22"/>
        <v>56.810631229235881</v>
      </c>
      <c r="AE72" s="2">
        <f t="shared" si="23"/>
        <v>145.77000000000001</v>
      </c>
      <c r="AF72" s="9">
        <f t="shared" si="24"/>
        <v>1</v>
      </c>
      <c r="AG72" s="9">
        <f t="shared" si="25"/>
        <v>1</v>
      </c>
      <c r="AH72" s="70">
        <f t="shared" si="26"/>
        <v>0.47368421052631576</v>
      </c>
      <c r="AI72"/>
    </row>
    <row r="73" spans="1:35" x14ac:dyDescent="0.25">
      <c r="A73" s="22">
        <v>11</v>
      </c>
      <c r="B73" s="24">
        <v>46093</v>
      </c>
      <c r="C73" s="1" t="s">
        <v>34</v>
      </c>
      <c r="D73" s="1">
        <v>274</v>
      </c>
      <c r="E73" s="4" t="s">
        <v>37</v>
      </c>
      <c r="F73" s="5" t="s">
        <v>36</v>
      </c>
      <c r="G73" s="22">
        <v>36528.799999999996</v>
      </c>
      <c r="H73" s="22">
        <v>29145.649999999987</v>
      </c>
      <c r="I73" s="22">
        <v>333</v>
      </c>
      <c r="J73" s="22">
        <v>20</v>
      </c>
      <c r="K73" s="22" t="s">
        <v>44</v>
      </c>
      <c r="L73" s="22"/>
      <c r="M73" s="22"/>
      <c r="N73" s="4" cm="1">
        <f t="array" ref="N73">_xlfn.IFS(E73="MOLINOS CHAMPION S.F",42,E73="PROPALCOL",42,E73="MASTERTEC",42,E73="GANADERIA OVIA",42,E73="ENGORDE",40,E73="DESCARTES",40,E73="REPRODUCTORA",10,E73="BAJO PESO",40,E73="CHICKENCORP",42)</f>
        <v>40</v>
      </c>
      <c r="O73" s="7">
        <f t="shared" si="14"/>
        <v>0.79788139769168409</v>
      </c>
      <c r="P73" s="4">
        <f t="shared" si="15"/>
        <v>109.69609609609608</v>
      </c>
      <c r="Q73" s="4">
        <f t="shared" si="16"/>
        <v>87.524474474474431</v>
      </c>
      <c r="R73" s="7">
        <f t="shared" si="17"/>
        <v>0.93993993993993996</v>
      </c>
      <c r="S73" s="22">
        <v>33</v>
      </c>
      <c r="T73" s="23">
        <v>0.29166666666666669</v>
      </c>
      <c r="U73" s="23">
        <v>0.63888888888888884</v>
      </c>
      <c r="V73" s="12"/>
      <c r="W73" s="12"/>
      <c r="X73" s="2"/>
      <c r="Y73" s="2">
        <f t="shared" si="18"/>
        <v>0</v>
      </c>
      <c r="Z73" s="2"/>
      <c r="AA73" s="2">
        <f t="shared" si="19"/>
        <v>8.3249999999999993</v>
      </c>
      <c r="AB73" s="8">
        <f t="shared" si="20"/>
        <v>8.3333333333333339</v>
      </c>
      <c r="AC73" s="8">
        <f t="shared" si="21"/>
        <v>8.333333333334636E-3</v>
      </c>
      <c r="AD73" s="10">
        <f t="shared" si="22"/>
        <v>39.959999999999994</v>
      </c>
      <c r="AE73" s="2">
        <f t="shared" si="23"/>
        <v>105.98</v>
      </c>
      <c r="AF73" s="9">
        <f t="shared" si="24"/>
        <v>0.9989989989989988</v>
      </c>
      <c r="AG73" s="9">
        <f t="shared" si="25"/>
        <v>0.99899999999999989</v>
      </c>
      <c r="AH73" s="70">
        <f t="shared" si="26"/>
        <v>0.93806006006005971</v>
      </c>
      <c r="AI73"/>
    </row>
    <row r="74" spans="1:35" x14ac:dyDescent="0.25">
      <c r="A74" s="22">
        <v>11</v>
      </c>
      <c r="B74" s="24">
        <v>46094</v>
      </c>
      <c r="C74" s="1" t="s">
        <v>34</v>
      </c>
      <c r="D74" s="1">
        <v>274</v>
      </c>
      <c r="E74" s="4" t="s">
        <v>37</v>
      </c>
      <c r="F74" s="5" t="s">
        <v>36</v>
      </c>
      <c r="G74" s="22">
        <v>10167.85</v>
      </c>
      <c r="H74" s="22">
        <v>7374.1499999999987</v>
      </c>
      <c r="I74" s="22">
        <v>211</v>
      </c>
      <c r="J74" s="22">
        <v>211</v>
      </c>
      <c r="K74" s="22" t="s">
        <v>44</v>
      </c>
      <c r="L74" s="22"/>
      <c r="M74" s="22"/>
      <c r="N74" s="4" cm="1">
        <f t="array" ref="N74">_xlfn.IFS(E74="MOLINOS CHAMPION S.F",42,E74="PROPALCOL",42,E74="MASTERTEC",42,E74="GANADERIA OVIA",42,E74="ENGORDE",40,E74="DESCARTES",40,E74="REPRODUCTORA",10,E74="BAJO PESO",40,E74="CHICKENCORP",42)</f>
        <v>40</v>
      </c>
      <c r="O74" s="7">
        <f t="shared" si="14"/>
        <v>0.72524181611648464</v>
      </c>
      <c r="P74" s="4">
        <f t="shared" si="15"/>
        <v>48.188862559241706</v>
      </c>
      <c r="Q74" s="4">
        <f t="shared" si="16"/>
        <v>34.948578199052129</v>
      </c>
      <c r="R74" s="7">
        <f t="shared" si="17"/>
        <v>0</v>
      </c>
      <c r="S74" s="22">
        <v>33</v>
      </c>
      <c r="T74" s="23">
        <v>0.44444444444444442</v>
      </c>
      <c r="U74" s="23">
        <v>0.63194444444444442</v>
      </c>
      <c r="V74" s="12"/>
      <c r="W74" s="12"/>
      <c r="X74" s="2"/>
      <c r="Y74" s="2">
        <f t="shared" si="18"/>
        <v>0</v>
      </c>
      <c r="Z74" s="2"/>
      <c r="AA74" s="2">
        <f t="shared" si="19"/>
        <v>5.2750000000000004</v>
      </c>
      <c r="AB74" s="8">
        <f t="shared" si="20"/>
        <v>4.5</v>
      </c>
      <c r="AC74" s="8">
        <f t="shared" si="21"/>
        <v>0</v>
      </c>
      <c r="AD74" s="10">
        <f t="shared" si="22"/>
        <v>46.888888888888886</v>
      </c>
      <c r="AE74" s="2">
        <f t="shared" si="23"/>
        <v>49.66</v>
      </c>
      <c r="AF74" s="9">
        <f t="shared" si="24"/>
        <v>1</v>
      </c>
      <c r="AG74" s="9">
        <f t="shared" si="25"/>
        <v>1</v>
      </c>
      <c r="AH74" s="70">
        <f t="shared" si="26"/>
        <v>0</v>
      </c>
      <c r="AI74"/>
    </row>
    <row r="75" spans="1:35" x14ac:dyDescent="0.25">
      <c r="A75" s="22">
        <v>12</v>
      </c>
      <c r="B75" s="24">
        <v>46097</v>
      </c>
      <c r="C75" s="1" t="s">
        <v>34</v>
      </c>
      <c r="D75" s="1">
        <v>5470</v>
      </c>
      <c r="E75" s="4" t="s">
        <v>35</v>
      </c>
      <c r="F75" s="5" t="s">
        <v>36</v>
      </c>
      <c r="G75" s="22">
        <v>12829.900000000003</v>
      </c>
      <c r="H75" s="22">
        <v>9792.7500000000018</v>
      </c>
      <c r="I75" s="22">
        <v>120</v>
      </c>
      <c r="J75" s="22"/>
      <c r="K75" s="22"/>
      <c r="L75" s="22"/>
      <c r="M75" s="22"/>
      <c r="N75" s="4" cm="1">
        <f t="array" ref="N75">_xlfn.IFS(E75="MOLINOS CHAMPION S.F",42,E75="PROPALCOL",42,E75="MASTERTEC",42,E75="GANADERIA OVIA",42,E75="ENGORDE",40,E75="DESCARTES",40,E75="REPRODUCTORA",10,E75="BAJO PESO",40,E75="CHICKENCORP",42)</f>
        <v>42</v>
      </c>
      <c r="O75" s="7">
        <f t="shared" si="14"/>
        <v>0.76327562958401851</v>
      </c>
      <c r="P75" s="4">
        <f t="shared" si="15"/>
        <v>106.91583333333337</v>
      </c>
      <c r="Q75" s="4">
        <f t="shared" si="16"/>
        <v>81.606250000000017</v>
      </c>
      <c r="R75" s="7">
        <f t="shared" si="17"/>
        <v>1</v>
      </c>
      <c r="S75" s="22">
        <v>28</v>
      </c>
      <c r="T75" s="23">
        <v>0.53472222222222221</v>
      </c>
      <c r="U75" s="23">
        <v>0.67013888888888884</v>
      </c>
      <c r="V75" s="12"/>
      <c r="W75" s="12"/>
      <c r="X75" s="2"/>
      <c r="Y75" s="2">
        <f t="shared" si="18"/>
        <v>0</v>
      </c>
      <c r="Z75" s="2"/>
      <c r="AA75" s="2">
        <f t="shared" si="19"/>
        <v>2.8571428571428572</v>
      </c>
      <c r="AB75" s="8">
        <f t="shared" si="20"/>
        <v>3.25</v>
      </c>
      <c r="AC75" s="8">
        <f t="shared" si="21"/>
        <v>0.39285714285714279</v>
      </c>
      <c r="AD75" s="10">
        <f t="shared" si="22"/>
        <v>36.92307692307692</v>
      </c>
      <c r="AE75" s="2">
        <f t="shared" si="23"/>
        <v>107.61</v>
      </c>
      <c r="AF75" s="9">
        <f t="shared" si="24"/>
        <v>0.86250000000000004</v>
      </c>
      <c r="AG75" s="9">
        <f t="shared" si="25"/>
        <v>0.879120879120879</v>
      </c>
      <c r="AH75" s="70">
        <f t="shared" si="26"/>
        <v>0.75824175824175821</v>
      </c>
      <c r="AI75"/>
    </row>
    <row r="76" spans="1:35" x14ac:dyDescent="0.25">
      <c r="A76" s="22">
        <v>12</v>
      </c>
      <c r="B76" s="24">
        <v>46097</v>
      </c>
      <c r="C76" s="1" t="s">
        <v>34</v>
      </c>
      <c r="D76" s="1">
        <v>274</v>
      </c>
      <c r="E76" s="4" t="s">
        <v>37</v>
      </c>
      <c r="F76" s="5" t="s">
        <v>36</v>
      </c>
      <c r="G76" s="22">
        <v>22966.799999999996</v>
      </c>
      <c r="H76" s="22">
        <v>18323.599999999999</v>
      </c>
      <c r="I76" s="22">
        <v>212</v>
      </c>
      <c r="J76" s="22">
        <v>20</v>
      </c>
      <c r="K76" s="22" t="s">
        <v>44</v>
      </c>
      <c r="L76" s="22"/>
      <c r="M76" s="22"/>
      <c r="N76" s="4" cm="1">
        <f t="array" ref="N76">_xlfn.IFS(E76="MOLINOS CHAMPION S.F",42,E76="PROPALCOL",42,E76="MASTERTEC",42,E76="GANADERIA OVIA",42,E76="ENGORDE",40,E76="DESCARTES",40,E76="REPRODUCTORA",10,E76="BAJO PESO",40,E76="CHICKENCORP",42)</f>
        <v>40</v>
      </c>
      <c r="O76" s="7">
        <f t="shared" si="14"/>
        <v>0.7978299110019681</v>
      </c>
      <c r="P76" s="4">
        <f t="shared" si="15"/>
        <v>108.33396226415093</v>
      </c>
      <c r="Q76" s="4">
        <f t="shared" si="16"/>
        <v>86.432075471698113</v>
      </c>
      <c r="R76" s="7">
        <f t="shared" si="17"/>
        <v>0.90566037735849059</v>
      </c>
      <c r="S76" s="22">
        <v>28</v>
      </c>
      <c r="T76" s="23">
        <v>0.33333333333333331</v>
      </c>
      <c r="U76" s="23">
        <v>0.72777777777777775</v>
      </c>
      <c r="V76" s="12"/>
      <c r="W76" s="12"/>
      <c r="X76" s="2"/>
      <c r="Y76" s="2">
        <f t="shared" si="18"/>
        <v>0</v>
      </c>
      <c r="Z76" s="2">
        <v>1</v>
      </c>
      <c r="AA76" s="2">
        <f t="shared" si="19"/>
        <v>5.3</v>
      </c>
      <c r="AB76" s="8">
        <f t="shared" si="20"/>
        <v>8.4666666666666668</v>
      </c>
      <c r="AC76" s="8">
        <f t="shared" si="21"/>
        <v>3.166666666666667</v>
      </c>
      <c r="AD76" s="10">
        <f t="shared" si="22"/>
        <v>25.039370078740156</v>
      </c>
      <c r="AE76" s="2">
        <f t="shared" si="23"/>
        <v>77.290000000000006</v>
      </c>
      <c r="AF76" s="9">
        <f t="shared" si="24"/>
        <v>0.40251572327044016</v>
      </c>
      <c r="AG76" s="9">
        <f t="shared" si="25"/>
        <v>0.62598425196850394</v>
      </c>
      <c r="AH76" s="70">
        <f t="shared" si="26"/>
        <v>0.2281978903580448</v>
      </c>
      <c r="AI76"/>
    </row>
    <row r="77" spans="1:35" x14ac:dyDescent="0.25">
      <c r="A77" s="22">
        <v>12</v>
      </c>
      <c r="B77" s="24">
        <v>46097</v>
      </c>
      <c r="C77" s="1" t="s">
        <v>38</v>
      </c>
      <c r="D77" s="6"/>
      <c r="E77" s="4" t="s">
        <v>39</v>
      </c>
      <c r="F77" s="5" t="s">
        <v>42</v>
      </c>
      <c r="G77" s="22">
        <v>5260.65</v>
      </c>
      <c r="H77" s="22">
        <v>3768.8</v>
      </c>
      <c r="I77" s="22">
        <v>22</v>
      </c>
      <c r="J77" s="22"/>
      <c r="K77" s="22"/>
      <c r="L77" s="22"/>
      <c r="M77" s="22"/>
      <c r="N77" s="4" cm="1">
        <f t="array" ref="N77">_xlfn.IFS(E77="MOLINOS CHAMPION S.F",42,E77="PROPALCOL",42,E77="MASTERTEC",42,E77="GANADERIA OVIA",42,E77="ENGORDE",40,E77="DESCARTES",40,E77="REPRODUCTORA",10,E77="BAJO PESO",40,E77="CHICKENCORP",42)</f>
        <v>10</v>
      </c>
      <c r="O77" s="7">
        <f t="shared" si="14"/>
        <v>0.71641337097126789</v>
      </c>
      <c r="P77" s="4">
        <f t="shared" si="15"/>
        <v>239.12045454545452</v>
      </c>
      <c r="Q77" s="4">
        <f t="shared" si="16"/>
        <v>171.30909090909091</v>
      </c>
      <c r="R77" s="7">
        <f t="shared" si="17"/>
        <v>1</v>
      </c>
      <c r="S77" s="22">
        <v>30</v>
      </c>
      <c r="T77" s="23">
        <v>0.44444444444444442</v>
      </c>
      <c r="U77" s="23">
        <v>0.52430555555555558</v>
      </c>
      <c r="V77" s="12"/>
      <c r="W77" s="12"/>
      <c r="X77" s="2"/>
      <c r="Y77" s="2">
        <f t="shared" si="18"/>
        <v>0</v>
      </c>
      <c r="Z77" s="2"/>
      <c r="AA77" s="2">
        <f t="shared" si="19"/>
        <v>2.2000000000000002</v>
      </c>
      <c r="AB77" s="8">
        <f t="shared" si="20"/>
        <v>1.9166666666666665</v>
      </c>
      <c r="AC77" s="8">
        <f t="shared" si="21"/>
        <v>0</v>
      </c>
      <c r="AD77" s="10">
        <f t="shared" si="22"/>
        <v>11.478260869565219</v>
      </c>
      <c r="AE77" s="2">
        <f t="shared" si="23"/>
        <v>65.540000000000006</v>
      </c>
      <c r="AF77" s="9">
        <f t="shared" si="24"/>
        <v>1</v>
      </c>
      <c r="AG77" s="9">
        <f t="shared" si="25"/>
        <v>1</v>
      </c>
      <c r="AH77" s="70">
        <f t="shared" si="26"/>
        <v>1</v>
      </c>
      <c r="AI77"/>
    </row>
    <row r="78" spans="1:35" x14ac:dyDescent="0.25">
      <c r="A78" s="22">
        <v>12</v>
      </c>
      <c r="B78" s="24">
        <v>46098</v>
      </c>
      <c r="C78" s="1" t="s">
        <v>34</v>
      </c>
      <c r="D78" s="1">
        <v>5470</v>
      </c>
      <c r="E78" s="4" t="s">
        <v>35</v>
      </c>
      <c r="F78" s="5" t="s">
        <v>36</v>
      </c>
      <c r="G78" s="22">
        <v>6717.0999999999967</v>
      </c>
      <c r="H78" s="22">
        <v>5149.2000000000007</v>
      </c>
      <c r="I78" s="22">
        <v>60</v>
      </c>
      <c r="J78" s="22"/>
      <c r="K78" s="22"/>
      <c r="L78" s="22"/>
      <c r="M78" s="22"/>
      <c r="N78" s="4" cm="1">
        <f t="array" ref="N78">_xlfn.IFS(E78="MOLINOS CHAMPION S.F",42,E78="PROPALCOL",42,E78="MASTERTEC",42,E78="GANADERIA OVIA",42,E78="ENGORDE",40,E78="DESCARTES",40,E78="REPRODUCTORA",10,E78="BAJO PESO",40,E78="CHICKENCORP",42)</f>
        <v>42</v>
      </c>
      <c r="O78" s="7">
        <f t="shared" si="14"/>
        <v>0.76658081612600726</v>
      </c>
      <c r="P78" s="4">
        <f t="shared" si="15"/>
        <v>111.95166666666661</v>
      </c>
      <c r="Q78" s="4">
        <f t="shared" si="16"/>
        <v>85.820000000000007</v>
      </c>
      <c r="R78" s="7">
        <f t="shared" si="17"/>
        <v>1</v>
      </c>
      <c r="S78" s="22">
        <v>31</v>
      </c>
      <c r="T78" s="23">
        <v>0.33333333333333331</v>
      </c>
      <c r="U78" s="23">
        <v>0.74652777777777779</v>
      </c>
      <c r="V78" s="12"/>
      <c r="W78" s="12"/>
      <c r="X78" s="2"/>
      <c r="Y78" s="2">
        <f t="shared" si="18"/>
        <v>0</v>
      </c>
      <c r="Z78" s="2"/>
      <c r="AA78" s="2">
        <f t="shared" si="19"/>
        <v>1.4285714285714286</v>
      </c>
      <c r="AB78" s="8">
        <f t="shared" si="20"/>
        <v>9.9166666666666661</v>
      </c>
      <c r="AC78" s="8">
        <f t="shared" si="21"/>
        <v>8.4880952380952372</v>
      </c>
      <c r="AD78" s="10">
        <f t="shared" si="22"/>
        <v>6.0504201680672276</v>
      </c>
      <c r="AE78" s="2">
        <f t="shared" si="23"/>
        <v>16.75</v>
      </c>
      <c r="AF78" s="9">
        <f t="shared" si="24"/>
        <v>0</v>
      </c>
      <c r="AG78" s="9">
        <f t="shared" si="25"/>
        <v>0.14405762304921971</v>
      </c>
      <c r="AH78" s="70">
        <f t="shared" si="26"/>
        <v>0</v>
      </c>
      <c r="AI78"/>
    </row>
    <row r="79" spans="1:35" x14ac:dyDescent="0.25">
      <c r="A79" s="22">
        <v>12</v>
      </c>
      <c r="B79" s="24">
        <v>46098</v>
      </c>
      <c r="C79" s="1" t="s">
        <v>34</v>
      </c>
      <c r="D79" s="1">
        <v>274</v>
      </c>
      <c r="E79" s="4" t="s">
        <v>37</v>
      </c>
      <c r="F79" s="5" t="s">
        <v>36</v>
      </c>
      <c r="G79" s="22">
        <v>25942.999999999996</v>
      </c>
      <c r="H79" s="22">
        <v>20776.550000000017</v>
      </c>
      <c r="I79" s="22">
        <v>271</v>
      </c>
      <c r="J79" s="22">
        <v>50</v>
      </c>
      <c r="K79" s="22" t="s">
        <v>45</v>
      </c>
      <c r="L79" s="22"/>
      <c r="M79" s="22"/>
      <c r="N79" s="4" cm="1">
        <f t="array" ref="N79">_xlfn.IFS(E79="MOLINOS CHAMPION S.F",42,E79="PROPALCOL",42,E79="MASTERTEC",42,E79="GANADERIA OVIA",42,E79="ENGORDE",40,E79="DESCARTES",40,E79="REPRODUCTORA",10,E79="BAJO PESO",40,E79="CHICKENCORP",42)</f>
        <v>40</v>
      </c>
      <c r="O79" s="7">
        <f t="shared" si="14"/>
        <v>0.8008537948579586</v>
      </c>
      <c r="P79" s="4">
        <f t="shared" si="15"/>
        <v>95.73062730627305</v>
      </c>
      <c r="Q79" s="4">
        <f t="shared" si="16"/>
        <v>76.666236162361685</v>
      </c>
      <c r="R79" s="7">
        <f t="shared" si="17"/>
        <v>0.81549815498154976</v>
      </c>
      <c r="S79" s="22">
        <v>31</v>
      </c>
      <c r="T79" s="23">
        <v>0.54166666666666663</v>
      </c>
      <c r="U79" s="23">
        <v>0.61250000000000004</v>
      </c>
      <c r="V79" s="12"/>
      <c r="W79" s="12"/>
      <c r="X79" s="2"/>
      <c r="Y79" s="2">
        <f t="shared" si="18"/>
        <v>0</v>
      </c>
      <c r="Z79" s="2">
        <v>1</v>
      </c>
      <c r="AA79" s="2">
        <f t="shared" si="19"/>
        <v>6.7750000000000004</v>
      </c>
      <c r="AB79" s="8">
        <f t="shared" si="20"/>
        <v>0.7</v>
      </c>
      <c r="AC79" s="8">
        <f t="shared" si="21"/>
        <v>0</v>
      </c>
      <c r="AD79" s="10">
        <f t="shared" si="22"/>
        <v>387.14285714285717</v>
      </c>
      <c r="AE79" s="2">
        <f t="shared" si="23"/>
        <v>957.44</v>
      </c>
      <c r="AF79" s="9">
        <f t="shared" si="24"/>
        <v>1</v>
      </c>
      <c r="AG79" s="9">
        <f t="shared" si="25"/>
        <v>1</v>
      </c>
      <c r="AH79" s="70">
        <f t="shared" si="26"/>
        <v>0.81549815498154976</v>
      </c>
      <c r="AI79"/>
    </row>
    <row r="80" spans="1:35" x14ac:dyDescent="0.25">
      <c r="A80" s="22">
        <v>12</v>
      </c>
      <c r="B80" s="24">
        <v>46099</v>
      </c>
      <c r="C80" s="1" t="s">
        <v>34</v>
      </c>
      <c r="D80" s="1">
        <v>5470</v>
      </c>
      <c r="E80" s="4" t="s">
        <v>35</v>
      </c>
      <c r="F80" s="5" t="s">
        <v>36</v>
      </c>
      <c r="G80" s="22">
        <v>6684.4</v>
      </c>
      <c r="H80" s="22">
        <v>5158.8500000000013</v>
      </c>
      <c r="I80" s="22">
        <v>60</v>
      </c>
      <c r="J80" s="22"/>
      <c r="K80" s="22"/>
      <c r="L80" s="22"/>
      <c r="M80" s="22"/>
      <c r="N80" s="4" cm="1">
        <f t="array" ref="N80">_xlfn.IFS(E80="MOLINOS CHAMPION S.F",42,E80="PROPALCOL",42,E80="MASTERTEC",42,E80="GANADERIA OVIA",42,E80="ENGORDE",40,E80="DESCARTES",40,E80="REPRODUCTORA",10,E80="BAJO PESO",40,E80="CHICKENCORP",42)</f>
        <v>42</v>
      </c>
      <c r="O80" s="7">
        <f t="shared" si="14"/>
        <v>0.77177457961821583</v>
      </c>
      <c r="P80" s="4">
        <f t="shared" si="15"/>
        <v>111.40666666666667</v>
      </c>
      <c r="Q80" s="4">
        <f t="shared" si="16"/>
        <v>85.980833333333351</v>
      </c>
      <c r="R80" s="7">
        <f t="shared" si="17"/>
        <v>1</v>
      </c>
      <c r="S80" s="22">
        <v>31</v>
      </c>
      <c r="T80" s="23">
        <v>0.54166666666666663</v>
      </c>
      <c r="U80" s="23">
        <v>0.61250000000000004</v>
      </c>
      <c r="V80" s="12"/>
      <c r="W80" s="12"/>
      <c r="X80" s="2"/>
      <c r="Y80" s="2">
        <f t="shared" si="18"/>
        <v>0</v>
      </c>
      <c r="Z80" s="2"/>
      <c r="AA80" s="2">
        <f t="shared" si="19"/>
        <v>1.4285714285714286</v>
      </c>
      <c r="AB80" s="8">
        <f t="shared" si="20"/>
        <v>1.7</v>
      </c>
      <c r="AC80" s="8">
        <f t="shared" si="21"/>
        <v>0.27142857142857135</v>
      </c>
      <c r="AD80" s="10">
        <f t="shared" si="22"/>
        <v>35.294117647058826</v>
      </c>
      <c r="AE80" s="2">
        <f t="shared" si="23"/>
        <v>97.89</v>
      </c>
      <c r="AF80" s="9">
        <f t="shared" si="24"/>
        <v>0.81</v>
      </c>
      <c r="AG80" s="9">
        <f t="shared" si="25"/>
        <v>0.84033613445378152</v>
      </c>
      <c r="AH80" s="70">
        <f t="shared" si="26"/>
        <v>0.68067226890756305</v>
      </c>
      <c r="AI80"/>
    </row>
    <row r="81" spans="1:35" x14ac:dyDescent="0.25">
      <c r="A81" s="22">
        <v>12</v>
      </c>
      <c r="B81" s="24">
        <v>46099</v>
      </c>
      <c r="C81" s="1" t="s">
        <v>34</v>
      </c>
      <c r="D81" s="1">
        <v>274</v>
      </c>
      <c r="E81" s="4" t="s">
        <v>37</v>
      </c>
      <c r="F81" s="5" t="s">
        <v>36</v>
      </c>
      <c r="G81" s="22">
        <v>27164.65</v>
      </c>
      <c r="H81" s="22">
        <v>21716.753000000001</v>
      </c>
      <c r="I81" s="22">
        <v>270</v>
      </c>
      <c r="J81" s="22">
        <v>40</v>
      </c>
      <c r="K81" s="22" t="s">
        <v>44</v>
      </c>
      <c r="L81" s="22"/>
      <c r="M81" s="22"/>
      <c r="N81" s="4" cm="1">
        <f t="array" ref="N81">_xlfn.IFS(E81="MOLINOS CHAMPION S.F",42,E81="PROPALCOL",42,E81="MASTERTEC",42,E81="GANADERIA OVIA",42,E81="ENGORDE",40,E81="DESCARTES",40,E81="REPRODUCTORA",10,E81="BAJO PESO",40,E81="CHICKENCORP",42)</f>
        <v>40</v>
      </c>
      <c r="O81" s="7">
        <f t="shared" si="14"/>
        <v>0.79944902658418204</v>
      </c>
      <c r="P81" s="4">
        <f t="shared" si="15"/>
        <v>100.60981481481483</v>
      </c>
      <c r="Q81" s="4">
        <f t="shared" si="16"/>
        <v>80.432418518518517</v>
      </c>
      <c r="R81" s="7">
        <f t="shared" si="17"/>
        <v>0.85185185185185186</v>
      </c>
      <c r="S81" s="22">
        <v>30</v>
      </c>
      <c r="T81" s="23">
        <v>0.33333333333333331</v>
      </c>
      <c r="U81" s="23">
        <v>0.68402777777777779</v>
      </c>
      <c r="V81" s="12"/>
      <c r="W81" s="12"/>
      <c r="X81" s="2"/>
      <c r="Y81" s="2">
        <f t="shared" si="18"/>
        <v>0</v>
      </c>
      <c r="Z81" s="2">
        <v>1</v>
      </c>
      <c r="AA81" s="2">
        <f t="shared" si="19"/>
        <v>6.75</v>
      </c>
      <c r="AB81" s="8">
        <f t="shared" si="20"/>
        <v>7.4166666666666661</v>
      </c>
      <c r="AC81" s="8">
        <f t="shared" si="21"/>
        <v>0.66666666666666607</v>
      </c>
      <c r="AD81" s="10">
        <f t="shared" si="22"/>
        <v>36.404494382022477</v>
      </c>
      <c r="AE81" s="2">
        <f t="shared" si="23"/>
        <v>97.6</v>
      </c>
      <c r="AF81" s="9">
        <f t="shared" si="24"/>
        <v>0.90123456790123468</v>
      </c>
      <c r="AG81" s="9">
        <f t="shared" si="25"/>
        <v>0.91011235955056191</v>
      </c>
      <c r="AH81" s="70">
        <f t="shared" si="26"/>
        <v>0.69870994590095725</v>
      </c>
      <c r="AI81"/>
    </row>
    <row r="82" spans="1:35" x14ac:dyDescent="0.25">
      <c r="A82" s="22">
        <v>12</v>
      </c>
      <c r="B82" s="24">
        <v>46100</v>
      </c>
      <c r="C82" s="1" t="s">
        <v>34</v>
      </c>
      <c r="D82" s="1">
        <v>274</v>
      </c>
      <c r="E82" s="4" t="s">
        <v>37</v>
      </c>
      <c r="F82" s="5" t="s">
        <v>36</v>
      </c>
      <c r="G82" s="22">
        <v>29675.95</v>
      </c>
      <c r="H82" s="22">
        <v>23731.199999999997</v>
      </c>
      <c r="I82" s="22">
        <v>301</v>
      </c>
      <c r="J82" s="22">
        <v>40</v>
      </c>
      <c r="K82" s="22" t="s">
        <v>44</v>
      </c>
      <c r="L82" s="22"/>
      <c r="M82" s="22"/>
      <c r="N82" s="4" cm="1">
        <f t="array" ref="N82">_xlfn.IFS(E82="MOLINOS CHAMPION S.F",42,E82="PROPALCOL",42,E82="MASTERTEC",42,E82="GANADERIA OVIA",42,E82="ENGORDE",40,E82="DESCARTES",40,E82="REPRODUCTORA",10,E82="BAJO PESO",40,E82="CHICKENCORP",42)</f>
        <v>40</v>
      </c>
      <c r="O82" s="7">
        <f t="shared" si="14"/>
        <v>0.79967785361546961</v>
      </c>
      <c r="P82" s="4">
        <f t="shared" si="15"/>
        <v>98.591196013289036</v>
      </c>
      <c r="Q82" s="4">
        <f t="shared" si="16"/>
        <v>78.841196013289021</v>
      </c>
      <c r="R82" s="7">
        <f t="shared" si="17"/>
        <v>0.86710963455149503</v>
      </c>
      <c r="S82" s="15">
        <v>30</v>
      </c>
      <c r="T82" s="23">
        <v>0.29166666666666669</v>
      </c>
      <c r="U82" s="23">
        <v>0.60763888888888884</v>
      </c>
      <c r="V82" s="12"/>
      <c r="W82" s="12"/>
      <c r="X82" s="2"/>
      <c r="Y82" s="2">
        <f t="shared" si="18"/>
        <v>0</v>
      </c>
      <c r="Z82" s="2">
        <v>1</v>
      </c>
      <c r="AA82" s="2">
        <f t="shared" si="19"/>
        <v>7.5250000000000004</v>
      </c>
      <c r="AB82" s="8">
        <f t="shared" si="20"/>
        <v>6.583333333333333</v>
      </c>
      <c r="AC82" s="8">
        <f t="shared" si="21"/>
        <v>0</v>
      </c>
      <c r="AD82" s="10">
        <f t="shared" si="22"/>
        <v>45.721518987341774</v>
      </c>
      <c r="AE82" s="2">
        <f t="shared" si="23"/>
        <v>120.16</v>
      </c>
      <c r="AF82" s="9">
        <f t="shared" si="24"/>
        <v>1</v>
      </c>
      <c r="AG82" s="9">
        <f t="shared" si="25"/>
        <v>1</v>
      </c>
      <c r="AH82" s="70">
        <f t="shared" si="26"/>
        <v>0.86710963455149503</v>
      </c>
      <c r="AI82"/>
    </row>
    <row r="83" spans="1:35" x14ac:dyDescent="0.25">
      <c r="A83" s="22">
        <v>12</v>
      </c>
      <c r="B83" s="24">
        <v>46101</v>
      </c>
      <c r="C83" s="1" t="s">
        <v>34</v>
      </c>
      <c r="D83" s="1">
        <v>274</v>
      </c>
      <c r="E83" s="4" t="s">
        <v>37</v>
      </c>
      <c r="F83" s="5" t="s">
        <v>36</v>
      </c>
      <c r="G83" s="22">
        <v>19271.300000000003</v>
      </c>
      <c r="H83" s="22">
        <v>15670.95</v>
      </c>
      <c r="I83" s="22">
        <v>185</v>
      </c>
      <c r="J83" s="22">
        <v>5</v>
      </c>
      <c r="K83" s="22" t="s">
        <v>44</v>
      </c>
      <c r="L83" s="22"/>
      <c r="M83" s="22"/>
      <c r="N83" s="4" cm="1">
        <f t="array" ref="N83">_xlfn.IFS(E83="MOLINOS CHAMPION S.F",42,E83="PROPALCOL",42,E83="MASTERTEC",42,E83="GANADERIA OVIA",42,E83="ENGORDE",40,E83="DESCARTES",40,E83="REPRODUCTORA",10,E83="BAJO PESO",40,E83="CHICKENCORP",42)</f>
        <v>40</v>
      </c>
      <c r="O83" s="7">
        <f t="shared" si="14"/>
        <v>0.81317555120827334</v>
      </c>
      <c r="P83" s="4">
        <f t="shared" si="15"/>
        <v>104.16918918918921</v>
      </c>
      <c r="Q83" s="4">
        <f t="shared" si="16"/>
        <v>84.707837837837843</v>
      </c>
      <c r="R83" s="7">
        <f t="shared" si="17"/>
        <v>0.97297297297297303</v>
      </c>
      <c r="S83" s="22">
        <v>31</v>
      </c>
      <c r="T83" s="23">
        <v>0.25</v>
      </c>
      <c r="U83" s="23">
        <v>0.57291666666666663</v>
      </c>
      <c r="V83" s="12"/>
      <c r="W83" s="12"/>
      <c r="X83" s="2"/>
      <c r="Y83" s="2">
        <f t="shared" si="18"/>
        <v>0</v>
      </c>
      <c r="Z83" s="2">
        <v>1</v>
      </c>
      <c r="AA83" s="2">
        <f t="shared" si="19"/>
        <v>4.625</v>
      </c>
      <c r="AB83" s="8">
        <f t="shared" si="20"/>
        <v>6.75</v>
      </c>
      <c r="AC83" s="8">
        <f t="shared" si="21"/>
        <v>2.125</v>
      </c>
      <c r="AD83" s="10">
        <f t="shared" si="22"/>
        <v>27.407407407407408</v>
      </c>
      <c r="AE83" s="2">
        <f t="shared" si="23"/>
        <v>74.89</v>
      </c>
      <c r="AF83" s="9">
        <f t="shared" si="24"/>
        <v>0.54054054054054057</v>
      </c>
      <c r="AG83" s="9">
        <f t="shared" si="25"/>
        <v>0.68518518518518523</v>
      </c>
      <c r="AH83" s="70">
        <f t="shared" si="26"/>
        <v>0.36036036036036045</v>
      </c>
      <c r="AI83"/>
    </row>
    <row r="84" spans="1:35" x14ac:dyDescent="0.25">
      <c r="A84" s="22">
        <v>13</v>
      </c>
      <c r="B84" s="24">
        <v>46104</v>
      </c>
      <c r="C84" s="1" t="s">
        <v>34</v>
      </c>
      <c r="D84" s="1">
        <v>5470</v>
      </c>
      <c r="E84" s="4" t="s">
        <v>35</v>
      </c>
      <c r="F84" s="5" t="s">
        <v>36</v>
      </c>
      <c r="G84" s="22">
        <v>6629.7999999999993</v>
      </c>
      <c r="H84" s="22">
        <v>5118.2499999999982</v>
      </c>
      <c r="I84" s="22">
        <v>60</v>
      </c>
      <c r="J84" s="22"/>
      <c r="K84" s="22"/>
      <c r="L84" s="22"/>
      <c r="M84" s="22"/>
      <c r="N84" s="4" cm="1">
        <f t="array" ref="N84">_xlfn.IFS(E84="MOLINOS CHAMPION S.F",42,E84="PROPALCOL",42,E84="MASTERTEC",42,E84="GANADERIA OVIA",42,E84="ENGORDE",40,E84="DESCARTES",40,E84="REPRODUCTORA",10,E84="BAJO PESO",40,E84="CHICKENCORP",42)</f>
        <v>42</v>
      </c>
      <c r="O84" s="7">
        <f t="shared" si="14"/>
        <v>0.77200669703460112</v>
      </c>
      <c r="P84" s="4">
        <f t="shared" si="15"/>
        <v>110.49666666666666</v>
      </c>
      <c r="Q84" s="4">
        <f t="shared" si="16"/>
        <v>85.304166666666632</v>
      </c>
      <c r="R84" s="7">
        <f t="shared" si="17"/>
        <v>1</v>
      </c>
      <c r="S84" s="22">
        <v>32</v>
      </c>
      <c r="T84" s="23">
        <v>0.4201388888888889</v>
      </c>
      <c r="U84" s="23">
        <v>0.49652777777777779</v>
      </c>
      <c r="V84" s="12"/>
      <c r="W84" s="12"/>
      <c r="X84" s="2"/>
      <c r="Y84" s="2">
        <f t="shared" si="18"/>
        <v>0</v>
      </c>
      <c r="Z84" s="2"/>
      <c r="AA84" s="2">
        <f t="shared" si="19"/>
        <v>1.4285714285714286</v>
      </c>
      <c r="AB84" s="8">
        <f t="shared" si="20"/>
        <v>1.8333333333333335</v>
      </c>
      <c r="AC84" s="8">
        <f t="shared" si="21"/>
        <v>0.40476190476190488</v>
      </c>
      <c r="AD84" s="10">
        <f t="shared" si="22"/>
        <v>32.727272727272727</v>
      </c>
      <c r="AE84" s="2">
        <f t="shared" si="23"/>
        <v>87.24</v>
      </c>
      <c r="AF84" s="9">
        <f t="shared" si="24"/>
        <v>0.71666666666666656</v>
      </c>
      <c r="AG84" s="9">
        <f t="shared" si="25"/>
        <v>0.77922077922077926</v>
      </c>
      <c r="AH84" s="70">
        <f t="shared" si="26"/>
        <v>0.55844155844155841</v>
      </c>
      <c r="AI84"/>
    </row>
    <row r="85" spans="1:35" x14ac:dyDescent="0.25">
      <c r="A85" s="22">
        <v>13</v>
      </c>
      <c r="B85" s="24">
        <v>46104</v>
      </c>
      <c r="C85" s="1" t="s">
        <v>34</v>
      </c>
      <c r="D85" s="1">
        <v>274</v>
      </c>
      <c r="E85" s="4" t="s">
        <v>37</v>
      </c>
      <c r="F85" s="5" t="s">
        <v>36</v>
      </c>
      <c r="G85" s="22">
        <v>18193.199999999997</v>
      </c>
      <c r="H85" s="22">
        <v>14447.049999999994</v>
      </c>
      <c r="I85" s="22">
        <v>195</v>
      </c>
      <c r="J85" s="22">
        <v>40</v>
      </c>
      <c r="K85" s="22" t="s">
        <v>46</v>
      </c>
      <c r="L85" s="22"/>
      <c r="M85" s="22"/>
      <c r="N85" s="4" cm="1">
        <f t="array" ref="N85">_xlfn.IFS(E85="MOLINOS CHAMPION S.F",42,E85="PROPALCOL",42,E85="MASTERTEC",42,E85="GANADERIA OVIA",42,E85="ENGORDE",40,E85="DESCARTES",40,E85="REPRODUCTORA",10,E85="BAJO PESO",40,E85="CHICKENCORP",42)</f>
        <v>40</v>
      </c>
      <c r="O85" s="7">
        <f t="shared" si="14"/>
        <v>0.79409064925356709</v>
      </c>
      <c r="P85" s="4">
        <f t="shared" si="15"/>
        <v>93.298461538461524</v>
      </c>
      <c r="Q85" s="4">
        <f t="shared" si="16"/>
        <v>74.087435897435867</v>
      </c>
      <c r="R85" s="7">
        <f t="shared" si="17"/>
        <v>0.79487179487179482</v>
      </c>
      <c r="S85" s="22">
        <v>31</v>
      </c>
      <c r="T85" s="23">
        <v>0.33333333333333331</v>
      </c>
      <c r="U85" s="23">
        <v>0.67708333333333337</v>
      </c>
      <c r="V85" s="21"/>
      <c r="W85" s="21"/>
      <c r="X85" s="2"/>
      <c r="Y85" s="2">
        <f t="shared" si="18"/>
        <v>0</v>
      </c>
      <c r="Z85" s="2">
        <v>1</v>
      </c>
      <c r="AA85" s="2">
        <f t="shared" si="19"/>
        <v>4.875</v>
      </c>
      <c r="AB85" s="8">
        <f t="shared" si="20"/>
        <v>7.25</v>
      </c>
      <c r="AC85" s="8">
        <f t="shared" si="21"/>
        <v>2.375</v>
      </c>
      <c r="AD85" s="10">
        <f t="shared" si="22"/>
        <v>26.896551724137932</v>
      </c>
      <c r="AE85" s="2">
        <f t="shared" si="23"/>
        <v>64.28</v>
      </c>
      <c r="AF85" s="9">
        <f t="shared" si="24"/>
        <v>0.51282051282051277</v>
      </c>
      <c r="AG85" s="9">
        <f t="shared" si="25"/>
        <v>0.67241379310344829</v>
      </c>
      <c r="AH85" s="70">
        <f t="shared" si="26"/>
        <v>0.2740937223695844</v>
      </c>
      <c r="AI85"/>
    </row>
    <row r="86" spans="1:35" x14ac:dyDescent="0.25">
      <c r="A86" s="22">
        <v>13</v>
      </c>
      <c r="B86" s="24">
        <v>46104</v>
      </c>
      <c r="C86" s="1" t="s">
        <v>38</v>
      </c>
      <c r="D86" s="6"/>
      <c r="E86" s="4" t="s">
        <v>39</v>
      </c>
      <c r="F86" s="5" t="s">
        <v>42</v>
      </c>
      <c r="G86" s="22">
        <v>3797.9500000000003</v>
      </c>
      <c r="H86" s="22">
        <v>2823.15</v>
      </c>
      <c r="I86" s="22">
        <v>17</v>
      </c>
      <c r="J86" s="22"/>
      <c r="K86" s="22"/>
      <c r="L86" s="22"/>
      <c r="M86" s="22"/>
      <c r="N86" s="4" cm="1">
        <f t="array" ref="N86">_xlfn.IFS(E86="MOLINOS CHAMPION S.F",42,E86="PROPALCOL",42,E86="MASTERTEC",42,E86="GANADERIA OVIA",42,E86="ENGORDE",40,E86="DESCARTES",40,E86="REPRODUCTORA",10,E86="BAJO PESO",40,E86="CHICKENCORP",42)</f>
        <v>10</v>
      </c>
      <c r="O86" s="7">
        <f t="shared" si="14"/>
        <v>0.74333522031622323</v>
      </c>
      <c r="P86" s="4">
        <f t="shared" si="15"/>
        <v>223.40882352941179</v>
      </c>
      <c r="Q86" s="4">
        <f t="shared" si="16"/>
        <v>166.06764705882352</v>
      </c>
      <c r="R86" s="7">
        <f t="shared" si="17"/>
        <v>1</v>
      </c>
      <c r="S86" s="22">
        <v>31</v>
      </c>
      <c r="T86" s="23">
        <v>0.58333333333333337</v>
      </c>
      <c r="U86" s="23">
        <v>0.66319444444444442</v>
      </c>
      <c r="V86" s="12"/>
      <c r="W86" s="12"/>
      <c r="X86" s="2"/>
      <c r="Y86" s="2">
        <f t="shared" si="18"/>
        <v>0</v>
      </c>
      <c r="Z86" s="2">
        <v>1</v>
      </c>
      <c r="AA86" s="2">
        <f t="shared" si="19"/>
        <v>1.7</v>
      </c>
      <c r="AB86" s="8">
        <f t="shared" si="20"/>
        <v>0.91666666666666652</v>
      </c>
      <c r="AC86" s="8">
        <f t="shared" si="21"/>
        <v>0</v>
      </c>
      <c r="AD86" s="10">
        <f t="shared" si="22"/>
        <v>18.545454545454547</v>
      </c>
      <c r="AE86" s="2">
        <f t="shared" si="23"/>
        <v>99.35</v>
      </c>
      <c r="AF86" s="9">
        <f t="shared" si="24"/>
        <v>1</v>
      </c>
      <c r="AG86" s="9">
        <f t="shared" si="25"/>
        <v>1</v>
      </c>
      <c r="AH86" s="70">
        <f t="shared" si="26"/>
        <v>1</v>
      </c>
      <c r="AI86"/>
    </row>
    <row r="87" spans="1:35" x14ac:dyDescent="0.25">
      <c r="A87" s="22">
        <v>13</v>
      </c>
      <c r="B87" s="24">
        <v>46105</v>
      </c>
      <c r="C87" s="1" t="s">
        <v>34</v>
      </c>
      <c r="D87" s="1">
        <v>5470</v>
      </c>
      <c r="E87" s="4" t="s">
        <v>35</v>
      </c>
      <c r="F87" s="5" t="s">
        <v>36</v>
      </c>
      <c r="G87" s="22">
        <v>6261.3</v>
      </c>
      <c r="H87" s="22">
        <v>4765.7500000000009</v>
      </c>
      <c r="I87" s="22">
        <v>60</v>
      </c>
      <c r="J87" s="22"/>
      <c r="K87" s="22"/>
      <c r="L87" s="22"/>
      <c r="M87" s="22"/>
      <c r="N87" s="4" cm="1">
        <f t="array" ref="N87">_xlfn.IFS(E87="MOLINOS CHAMPION S.F",42,E87="PROPALCOL",42,E87="MASTERTEC",42,E87="GANADERIA OVIA",42,E87="ENGORDE",40,E87="DESCARTES",40,E87="REPRODUCTORA",10,E87="BAJO PESO",40,E87="CHICKENCORP",42)</f>
        <v>42</v>
      </c>
      <c r="O87" s="7">
        <f t="shared" si="14"/>
        <v>0.76114385191573652</v>
      </c>
      <c r="P87" s="22">
        <f t="shared" si="15"/>
        <v>104.355</v>
      </c>
      <c r="Q87" s="22">
        <f t="shared" si="16"/>
        <v>79.429166666666688</v>
      </c>
      <c r="R87" s="7">
        <f t="shared" si="17"/>
        <v>1</v>
      </c>
      <c r="S87" s="22">
        <v>32</v>
      </c>
      <c r="T87" s="23">
        <v>0.4375</v>
      </c>
      <c r="U87" s="23">
        <v>0.51527777777777772</v>
      </c>
      <c r="V87" s="12"/>
      <c r="W87" s="12"/>
      <c r="X87" s="2"/>
      <c r="Y87" s="2">
        <f t="shared" si="18"/>
        <v>0</v>
      </c>
      <c r="Z87" s="2"/>
      <c r="AA87" s="2">
        <f t="shared" si="19"/>
        <v>1.4285714285714286</v>
      </c>
      <c r="AB87" s="8">
        <f t="shared" si="20"/>
        <v>1.8666666666666667</v>
      </c>
      <c r="AC87" s="8">
        <f t="shared" si="21"/>
        <v>0.43809523809523809</v>
      </c>
      <c r="AD87" s="10">
        <f t="shared" si="22"/>
        <v>32.142857142857139</v>
      </c>
      <c r="AE87" s="2">
        <f t="shared" si="23"/>
        <v>79.78</v>
      </c>
      <c r="AF87" s="9">
        <f t="shared" si="24"/>
        <v>0.69333333333333336</v>
      </c>
      <c r="AG87" s="9">
        <f t="shared" si="25"/>
        <v>0.76530612244897944</v>
      </c>
      <c r="AH87" s="70">
        <f t="shared" si="26"/>
        <v>0.53061224489795911</v>
      </c>
      <c r="AI87"/>
    </row>
    <row r="88" spans="1:35" x14ac:dyDescent="0.25">
      <c r="A88" s="22">
        <v>13</v>
      </c>
      <c r="B88" s="24">
        <v>46105</v>
      </c>
      <c r="C88" s="1" t="s">
        <v>34</v>
      </c>
      <c r="D88" s="1">
        <v>274</v>
      </c>
      <c r="E88" s="4" t="s">
        <v>37</v>
      </c>
      <c r="F88" s="5" t="s">
        <v>36</v>
      </c>
      <c r="G88" s="22">
        <v>24302.200000000004</v>
      </c>
      <c r="H88" s="22">
        <v>18990.650000000009</v>
      </c>
      <c r="I88" s="22">
        <v>234</v>
      </c>
      <c r="J88" s="22">
        <v>40</v>
      </c>
      <c r="K88" s="22" t="s">
        <v>46</v>
      </c>
      <c r="L88" s="22"/>
      <c r="M88" s="22"/>
      <c r="N88" s="4" cm="1">
        <f t="array" ref="N88">_xlfn.IFS(E88="MOLINOS CHAMPION S.F",42,E88="PROPALCOL",42,E88="MASTERTEC",42,E88="GANADERIA OVIA",42,E88="ENGORDE",40,E88="DESCARTES",40,E88="REPRODUCTORA",10,E88="BAJO PESO",40,E88="CHICKENCORP",42)</f>
        <v>40</v>
      </c>
      <c r="O88" s="7">
        <f t="shared" si="14"/>
        <v>0.78143748302622829</v>
      </c>
      <c r="P88" s="22">
        <f t="shared" si="15"/>
        <v>103.85555555555557</v>
      </c>
      <c r="Q88" s="22">
        <f t="shared" si="16"/>
        <v>81.156623931623969</v>
      </c>
      <c r="R88" s="7">
        <f t="shared" si="17"/>
        <v>0.82905982905982911</v>
      </c>
      <c r="S88" s="22">
        <v>32</v>
      </c>
      <c r="T88" s="23">
        <v>0.33333333333333331</v>
      </c>
      <c r="U88" s="23">
        <v>0.63541666666666663</v>
      </c>
      <c r="V88" s="12"/>
      <c r="W88" s="12"/>
      <c r="X88" s="2"/>
      <c r="Y88" s="2">
        <f t="shared" si="18"/>
        <v>0</v>
      </c>
      <c r="Z88" s="2">
        <v>1</v>
      </c>
      <c r="AA88" s="2">
        <f t="shared" si="19"/>
        <v>5.85</v>
      </c>
      <c r="AB88" s="8">
        <f t="shared" si="20"/>
        <v>6.25</v>
      </c>
      <c r="AC88" s="8">
        <f t="shared" si="21"/>
        <v>0.40000000000000036</v>
      </c>
      <c r="AD88" s="10">
        <f t="shared" si="22"/>
        <v>37.44</v>
      </c>
      <c r="AE88" s="2">
        <f t="shared" si="23"/>
        <v>94.95</v>
      </c>
      <c r="AF88" s="9">
        <f t="shared" si="24"/>
        <v>0.93162393162393153</v>
      </c>
      <c r="AG88" s="9">
        <f t="shared" si="25"/>
        <v>0.93599999999999994</v>
      </c>
      <c r="AH88" s="70">
        <f t="shared" si="26"/>
        <v>0.72294017094017082</v>
      </c>
      <c r="AI88"/>
    </row>
    <row r="89" spans="1:35" x14ac:dyDescent="0.25">
      <c r="A89" s="22">
        <v>13</v>
      </c>
      <c r="B89" s="24">
        <v>46106</v>
      </c>
      <c r="C89" s="1" t="s">
        <v>34</v>
      </c>
      <c r="D89" s="1">
        <v>5470</v>
      </c>
      <c r="E89" s="4" t="s">
        <v>35</v>
      </c>
      <c r="F89" s="5" t="s">
        <v>36</v>
      </c>
      <c r="G89" s="22">
        <v>6359.6500000000033</v>
      </c>
      <c r="H89" s="22">
        <v>4840.75</v>
      </c>
      <c r="I89" s="22">
        <v>60</v>
      </c>
      <c r="J89" s="22"/>
      <c r="K89" s="22"/>
      <c r="L89" s="22"/>
      <c r="M89" s="22"/>
      <c r="N89" s="4" cm="1">
        <f t="array" ref="N89">_xlfn.IFS(E89="MOLINOS CHAMPION S.F",42,E89="PROPALCOL",42,E89="MASTERTEC",42,E89="GANADERIA OVIA",42,E89="ENGORDE",40,E89="DESCARTES",40,E89="REPRODUCTORA",10,E89="BAJO PESO",40,E89="CHICKENCORP",42)</f>
        <v>42</v>
      </c>
      <c r="O89" s="7">
        <f t="shared" si="14"/>
        <v>0.7611661019081235</v>
      </c>
      <c r="P89" s="22">
        <f t="shared" si="15"/>
        <v>105.99416666666671</v>
      </c>
      <c r="Q89" s="22">
        <f t="shared" si="16"/>
        <v>80.67916666666666</v>
      </c>
      <c r="R89" s="7">
        <f t="shared" si="17"/>
        <v>1</v>
      </c>
      <c r="S89" s="22">
        <v>32</v>
      </c>
      <c r="T89" s="23">
        <v>0.44444444444444442</v>
      </c>
      <c r="U89" s="23">
        <v>0.51736111111111116</v>
      </c>
      <c r="V89" s="12"/>
      <c r="W89" s="12"/>
      <c r="X89" s="2"/>
      <c r="Y89" s="2">
        <f t="shared" si="18"/>
        <v>0</v>
      </c>
      <c r="Z89" s="2"/>
      <c r="AA89" s="2">
        <f t="shared" si="19"/>
        <v>1.4285714285714286</v>
      </c>
      <c r="AB89" s="8">
        <f t="shared" si="20"/>
        <v>1.75</v>
      </c>
      <c r="AC89" s="8">
        <f t="shared" si="21"/>
        <v>0.3214285714285714</v>
      </c>
      <c r="AD89" s="10">
        <f t="shared" si="22"/>
        <v>34.285714285714285</v>
      </c>
      <c r="AE89" s="2">
        <f t="shared" si="23"/>
        <v>86.44</v>
      </c>
      <c r="AF89" s="9">
        <f t="shared" si="24"/>
        <v>0.77500000000000002</v>
      </c>
      <c r="AG89" s="9">
        <f t="shared" si="25"/>
        <v>0.81632653061224492</v>
      </c>
      <c r="AH89" s="70">
        <f t="shared" si="26"/>
        <v>0.63265306122448983</v>
      </c>
      <c r="AI89"/>
    </row>
    <row r="90" spans="1:35" x14ac:dyDescent="0.25">
      <c r="A90" s="22">
        <v>13</v>
      </c>
      <c r="B90" s="24">
        <v>46106</v>
      </c>
      <c r="C90" s="1" t="s">
        <v>34</v>
      </c>
      <c r="D90" s="1">
        <v>274</v>
      </c>
      <c r="E90" s="4" t="s">
        <v>37</v>
      </c>
      <c r="F90" s="5" t="s">
        <v>36</v>
      </c>
      <c r="G90" s="22">
        <v>21658.05</v>
      </c>
      <c r="H90" s="22">
        <v>17294.499999999989</v>
      </c>
      <c r="I90" s="22">
        <v>230</v>
      </c>
      <c r="J90" s="22">
        <v>40</v>
      </c>
      <c r="K90" s="22" t="s">
        <v>47</v>
      </c>
      <c r="L90" s="22"/>
      <c r="M90" s="22"/>
      <c r="N90" s="4" cm="1">
        <f t="array" ref="N90">_xlfn.IFS(E90="MOLINOS CHAMPION S.F",42,E90="PROPALCOL",42,E90="MASTERTEC",42,E90="GANADERIA OVIA",42,E90="ENGORDE",40,E90="DESCARTES",40,E90="REPRODUCTORA",10,E90="BAJO PESO",40,E90="CHICKENCORP",42)</f>
        <v>40</v>
      </c>
      <c r="O90" s="7">
        <f t="shared" si="14"/>
        <v>0.798525259660957</v>
      </c>
      <c r="P90" s="22">
        <f t="shared" si="15"/>
        <v>94.165434782608699</v>
      </c>
      <c r="Q90" s="22">
        <f t="shared" si="16"/>
        <v>75.193478260869512</v>
      </c>
      <c r="R90" s="7">
        <f t="shared" si="17"/>
        <v>0.82608695652173914</v>
      </c>
      <c r="S90" s="22">
        <v>32</v>
      </c>
      <c r="T90" s="23">
        <v>0.33333333333333331</v>
      </c>
      <c r="U90" s="23">
        <v>0.67708333333333337</v>
      </c>
      <c r="V90" s="12"/>
      <c r="W90" s="12"/>
      <c r="X90" s="2"/>
      <c r="Y90" s="2">
        <f t="shared" si="18"/>
        <v>0</v>
      </c>
      <c r="Z90" s="2">
        <v>1</v>
      </c>
      <c r="AA90" s="2">
        <f t="shared" si="19"/>
        <v>5.75</v>
      </c>
      <c r="AB90" s="8">
        <f t="shared" si="20"/>
        <v>7.25</v>
      </c>
      <c r="AC90" s="8">
        <f t="shared" si="21"/>
        <v>1.5</v>
      </c>
      <c r="AD90" s="10">
        <f t="shared" si="22"/>
        <v>31.724137931034484</v>
      </c>
      <c r="AE90" s="2">
        <f t="shared" si="23"/>
        <v>74.55</v>
      </c>
      <c r="AF90" s="9">
        <f t="shared" si="24"/>
        <v>0.73913043478260865</v>
      </c>
      <c r="AG90" s="9">
        <f t="shared" si="25"/>
        <v>0.7931034482758621</v>
      </c>
      <c r="AH90" s="70">
        <f t="shared" si="26"/>
        <v>0.48425787106446772</v>
      </c>
      <c r="AI90"/>
    </row>
    <row r="91" spans="1:35" x14ac:dyDescent="0.25">
      <c r="A91" s="22">
        <v>13</v>
      </c>
      <c r="B91" s="24">
        <v>46107</v>
      </c>
      <c r="C91" s="1" t="s">
        <v>34</v>
      </c>
      <c r="D91" s="1">
        <v>274</v>
      </c>
      <c r="E91" s="4" t="s">
        <v>37</v>
      </c>
      <c r="F91" s="5" t="s">
        <v>36</v>
      </c>
      <c r="G91" s="22">
        <v>32747.200000000001</v>
      </c>
      <c r="H91" s="22">
        <v>26276.950000000004</v>
      </c>
      <c r="I91" s="22">
        <v>320</v>
      </c>
      <c r="J91" s="22">
        <v>20</v>
      </c>
      <c r="K91" s="22" t="s">
        <v>46</v>
      </c>
      <c r="L91" s="22"/>
      <c r="M91" s="22"/>
      <c r="N91" s="4" cm="1">
        <f t="array" ref="N91">_xlfn.IFS(E91="MOLINOS CHAMPION S.F",42,E91="PROPALCOL",42,E91="MASTERTEC",42,E91="GANADERIA OVIA",42,E91="ENGORDE",40,E91="DESCARTES",40,E91="REPRODUCTORA",10,E91="BAJO PESO",40,E91="CHICKENCORP",42)</f>
        <v>40</v>
      </c>
      <c r="O91" s="7">
        <f t="shared" si="14"/>
        <v>0.80241822201592816</v>
      </c>
      <c r="P91" s="22">
        <f t="shared" si="15"/>
        <v>102.33500000000001</v>
      </c>
      <c r="Q91" s="22">
        <f t="shared" si="16"/>
        <v>82.115468750000019</v>
      </c>
      <c r="R91" s="7">
        <f t="shared" si="17"/>
        <v>0.9375</v>
      </c>
      <c r="S91" s="22">
        <v>33</v>
      </c>
      <c r="T91" s="23">
        <v>0.33333333333333331</v>
      </c>
      <c r="U91" s="23">
        <v>0.65138888888888891</v>
      </c>
      <c r="V91" s="12"/>
      <c r="W91" s="12"/>
      <c r="X91" s="2"/>
      <c r="Y91" s="2">
        <f t="shared" si="18"/>
        <v>0</v>
      </c>
      <c r="Z91" s="2">
        <v>1</v>
      </c>
      <c r="AA91" s="2">
        <f t="shared" si="19"/>
        <v>8</v>
      </c>
      <c r="AB91" s="8">
        <f t="shared" si="20"/>
        <v>6.6333333333333329</v>
      </c>
      <c r="AC91" s="8">
        <f t="shared" si="21"/>
        <v>0</v>
      </c>
      <c r="AD91" s="10">
        <f t="shared" si="22"/>
        <v>48.241206030150757</v>
      </c>
      <c r="AE91" s="2">
        <f t="shared" si="23"/>
        <v>120.04</v>
      </c>
      <c r="AF91" s="9">
        <f t="shared" si="24"/>
        <v>1</v>
      </c>
      <c r="AG91" s="9">
        <f t="shared" si="25"/>
        <v>1</v>
      </c>
      <c r="AH91" s="70">
        <f t="shared" si="26"/>
        <v>0.9375</v>
      </c>
      <c r="AI91"/>
    </row>
    <row r="92" spans="1:35" x14ac:dyDescent="0.25">
      <c r="A92" s="22">
        <v>14</v>
      </c>
      <c r="B92" s="24">
        <v>46111</v>
      </c>
      <c r="C92" s="1" t="s">
        <v>34</v>
      </c>
      <c r="D92" s="1">
        <v>5470</v>
      </c>
      <c r="E92" s="4" t="s">
        <v>35</v>
      </c>
      <c r="F92" s="5" t="s">
        <v>36</v>
      </c>
      <c r="G92" s="22">
        <v>6114</v>
      </c>
      <c r="H92" s="22">
        <v>4683.0999999999995</v>
      </c>
      <c r="I92" s="22">
        <v>60</v>
      </c>
      <c r="J92" s="22"/>
      <c r="K92" s="22"/>
      <c r="L92" s="22"/>
      <c r="M92" s="22"/>
      <c r="N92" s="4" cm="1">
        <f t="array" ref="N92">_xlfn.IFS(E92="MOLINOS CHAMPION S.F",42,E92="PROPALCOL",42,E92="MASTERTEC",42,E92="GANADERIA OVIA",42,E92="ENGORDE",40,E92="DESCARTES",40,E92="REPRODUCTORA",10,E92="BAJO PESO",40,E92="CHICKENCORP",42)</f>
        <v>42</v>
      </c>
      <c r="O92" s="7">
        <f t="shared" si="14"/>
        <v>0.76596336277396126</v>
      </c>
      <c r="P92" s="22">
        <f t="shared" si="15"/>
        <v>101.9</v>
      </c>
      <c r="Q92" s="22">
        <f t="shared" si="16"/>
        <v>78.051666666666662</v>
      </c>
      <c r="R92" s="7">
        <f t="shared" si="17"/>
        <v>1</v>
      </c>
      <c r="S92" s="22">
        <v>32</v>
      </c>
      <c r="T92" s="23">
        <v>0.43055555555555558</v>
      </c>
      <c r="U92" s="23">
        <v>0.5</v>
      </c>
      <c r="V92" s="12"/>
      <c r="W92" s="12"/>
      <c r="X92" s="2"/>
      <c r="Y92" s="2">
        <f t="shared" si="18"/>
        <v>0</v>
      </c>
      <c r="Z92" s="2"/>
      <c r="AA92" s="2">
        <f t="shared" si="19"/>
        <v>1.4285714285714286</v>
      </c>
      <c r="AB92" s="8">
        <f t="shared" si="20"/>
        <v>1.6666666666666665</v>
      </c>
      <c r="AC92" s="8">
        <f t="shared" si="21"/>
        <v>0.23809523809523792</v>
      </c>
      <c r="AD92" s="10">
        <f t="shared" si="22"/>
        <v>36</v>
      </c>
      <c r="AE92" s="2">
        <f t="shared" si="23"/>
        <v>87.81</v>
      </c>
      <c r="AF92" s="9">
        <f t="shared" si="24"/>
        <v>0.83333333333333348</v>
      </c>
      <c r="AG92" s="9">
        <f t="shared" si="25"/>
        <v>0.8571428571428571</v>
      </c>
      <c r="AH92" s="70">
        <f t="shared" si="26"/>
        <v>0.71428571428571441</v>
      </c>
      <c r="AI92"/>
    </row>
    <row r="93" spans="1:35" x14ac:dyDescent="0.25">
      <c r="A93" s="22">
        <v>14</v>
      </c>
      <c r="B93" s="24">
        <v>46111</v>
      </c>
      <c r="C93" s="1" t="s">
        <v>34</v>
      </c>
      <c r="D93" s="1">
        <v>274</v>
      </c>
      <c r="E93" s="4" t="s">
        <v>37</v>
      </c>
      <c r="F93" s="5" t="s">
        <v>36</v>
      </c>
      <c r="G93" s="22">
        <v>26673.95</v>
      </c>
      <c r="H93" s="22">
        <v>21164.44999999999</v>
      </c>
      <c r="I93" s="22">
        <v>278</v>
      </c>
      <c r="J93" s="22">
        <v>15</v>
      </c>
      <c r="K93" s="22" t="s">
        <v>46</v>
      </c>
      <c r="L93" s="22"/>
      <c r="M93" s="22"/>
      <c r="N93" s="4" cm="1">
        <f t="array" ref="N93">_xlfn.IFS(E93="MOLINOS CHAMPION S.F",42,E93="PROPALCOL",42,E93="MASTERTEC",42,E93="GANADERIA OVIA",42,E93="ENGORDE",40,E93="DESCARTES",40,E93="REPRODUCTORA",10,E93="BAJO PESO",40,E93="CHICKENCORP",42)</f>
        <v>40</v>
      </c>
      <c r="O93" s="7">
        <f t="shared" si="14"/>
        <v>0.79345016392397782</v>
      </c>
      <c r="P93" s="22">
        <f t="shared" si="15"/>
        <v>95.949460431654686</v>
      </c>
      <c r="Q93" s="22">
        <f t="shared" si="16"/>
        <v>76.131115107913629</v>
      </c>
      <c r="R93" s="7">
        <f t="shared" si="17"/>
        <v>0.9460431654676259</v>
      </c>
      <c r="S93" s="22">
        <v>32</v>
      </c>
      <c r="T93" s="23">
        <v>0.40625</v>
      </c>
      <c r="U93" s="23">
        <v>0.63055555555555554</v>
      </c>
      <c r="V93" s="12"/>
      <c r="W93" s="12"/>
      <c r="X93" s="2"/>
      <c r="Y93" s="2">
        <f t="shared" si="18"/>
        <v>0</v>
      </c>
      <c r="Z93" s="2">
        <v>1</v>
      </c>
      <c r="AA93" s="2">
        <f t="shared" si="19"/>
        <v>6.95</v>
      </c>
      <c r="AB93" s="8">
        <f t="shared" si="20"/>
        <v>4.3833333333333337</v>
      </c>
      <c r="AC93" s="8">
        <f t="shared" si="21"/>
        <v>0</v>
      </c>
      <c r="AD93" s="10">
        <f t="shared" si="22"/>
        <v>63.422053231939159</v>
      </c>
      <c r="AE93" s="2">
        <f t="shared" si="23"/>
        <v>150.88999999999999</v>
      </c>
      <c r="AF93" s="9">
        <f t="shared" si="24"/>
        <v>1</v>
      </c>
      <c r="AG93" s="9">
        <f t="shared" si="25"/>
        <v>1</v>
      </c>
      <c r="AH93" s="70">
        <f t="shared" si="26"/>
        <v>0.9460431654676259</v>
      </c>
      <c r="AI93"/>
    </row>
    <row r="94" spans="1:35" x14ac:dyDescent="0.25">
      <c r="A94" s="22">
        <v>14</v>
      </c>
      <c r="B94" s="24">
        <v>46111</v>
      </c>
      <c r="C94" s="1" t="s">
        <v>38</v>
      </c>
      <c r="D94" s="6"/>
      <c r="E94" s="4" t="s">
        <v>39</v>
      </c>
      <c r="F94" s="5" t="s">
        <v>42</v>
      </c>
      <c r="G94" s="22">
        <v>3968.55</v>
      </c>
      <c r="H94" s="22">
        <v>3098.7499999999995</v>
      </c>
      <c r="I94" s="22">
        <v>17</v>
      </c>
      <c r="J94" s="22"/>
      <c r="K94" s="22"/>
      <c r="L94" s="22"/>
      <c r="M94" s="22"/>
      <c r="N94" s="4" cm="1">
        <f t="array" ref="N94">_xlfn.IFS(E94="MOLINOS CHAMPION S.F",42,E94="PROPALCOL",42,E94="MASTERTEC",42,E94="GANADERIA OVIA",42,E94="ENGORDE",40,E94="DESCARTES",40,E94="REPRODUCTORA",10,E94="BAJO PESO",40,E94="CHICKENCORP",42)</f>
        <v>10</v>
      </c>
      <c r="O94" s="7">
        <f t="shared" si="14"/>
        <v>0.78082675032442561</v>
      </c>
      <c r="P94" s="22">
        <f t="shared" si="15"/>
        <v>233.44411764705885</v>
      </c>
      <c r="Q94" s="22">
        <f t="shared" si="16"/>
        <v>182.27941176470586</v>
      </c>
      <c r="R94" s="7">
        <f t="shared" si="17"/>
        <v>1</v>
      </c>
      <c r="S94" s="22">
        <v>32</v>
      </c>
      <c r="T94" s="23">
        <v>0.68402777777777779</v>
      </c>
      <c r="U94" s="23">
        <v>0.75694444444444442</v>
      </c>
      <c r="V94" s="12"/>
      <c r="W94" s="12"/>
      <c r="X94" s="2"/>
      <c r="Y94" s="2">
        <f t="shared" si="18"/>
        <v>0</v>
      </c>
      <c r="Z94" s="2"/>
      <c r="AA94" s="2">
        <f t="shared" si="19"/>
        <v>1.7</v>
      </c>
      <c r="AB94" s="8">
        <f t="shared" si="20"/>
        <v>1.75</v>
      </c>
      <c r="AC94" s="8">
        <f t="shared" si="21"/>
        <v>5.0000000000000044E-2</v>
      </c>
      <c r="AD94" s="10">
        <f t="shared" si="22"/>
        <v>9.7142857142857135</v>
      </c>
      <c r="AE94" s="2">
        <f t="shared" si="23"/>
        <v>55.33</v>
      </c>
      <c r="AF94" s="9">
        <f t="shared" si="24"/>
        <v>0.97058823529411764</v>
      </c>
      <c r="AG94" s="9">
        <f t="shared" si="25"/>
        <v>0.97142857142857131</v>
      </c>
      <c r="AH94" s="70">
        <f t="shared" si="26"/>
        <v>0.94285714285714273</v>
      </c>
      <c r="AI94"/>
    </row>
    <row r="95" spans="1:35" x14ac:dyDescent="0.25">
      <c r="A95" s="22">
        <v>14</v>
      </c>
      <c r="B95" s="24">
        <v>46112</v>
      </c>
      <c r="C95" s="1" t="s">
        <v>34</v>
      </c>
      <c r="D95" s="1">
        <v>5470</v>
      </c>
      <c r="E95" s="4" t="s">
        <v>35</v>
      </c>
      <c r="F95" s="5" t="s">
        <v>36</v>
      </c>
      <c r="G95" s="22">
        <v>6218.2499999999991</v>
      </c>
      <c r="H95" s="22">
        <v>4719.95</v>
      </c>
      <c r="I95" s="22">
        <v>60</v>
      </c>
      <c r="J95" s="22"/>
      <c r="K95" s="22"/>
      <c r="L95" s="22"/>
      <c r="M95" s="22"/>
      <c r="N95" s="4" cm="1">
        <f t="array" ref="N95">_xlfn.IFS(E95="MOLINOS CHAMPION S.F",42,E95="PROPALCOL",42,E95="MASTERTEC",42,E95="GANADERIA OVIA",42,E95="ENGORDE",40,E95="DESCARTES",40,E95="REPRODUCTORA",10,E95="BAJO PESO",40,E95="CHICKENCORP",42)</f>
        <v>42</v>
      </c>
      <c r="O95" s="7">
        <f t="shared" si="14"/>
        <v>0.75904796365536931</v>
      </c>
      <c r="P95" s="22">
        <f t="shared" si="15"/>
        <v>103.63749999999999</v>
      </c>
      <c r="Q95" s="22">
        <f t="shared" si="16"/>
        <v>78.665833333333325</v>
      </c>
      <c r="R95" s="7">
        <f t="shared" si="17"/>
        <v>1</v>
      </c>
      <c r="S95" s="22">
        <v>32</v>
      </c>
      <c r="T95" s="23">
        <v>0.34722222222222221</v>
      </c>
      <c r="U95" s="23">
        <v>0.42708333333333331</v>
      </c>
      <c r="V95" s="12"/>
      <c r="W95" s="12"/>
      <c r="X95" s="2"/>
      <c r="Y95" s="2">
        <f t="shared" si="18"/>
        <v>0</v>
      </c>
      <c r="Z95" s="2"/>
      <c r="AA95" s="2">
        <f t="shared" si="19"/>
        <v>1.4285714285714286</v>
      </c>
      <c r="AB95" s="8">
        <f t="shared" si="20"/>
        <v>1.9166666666666665</v>
      </c>
      <c r="AC95" s="8">
        <f t="shared" si="21"/>
        <v>0.48809523809523792</v>
      </c>
      <c r="AD95" s="10">
        <f t="shared" si="22"/>
        <v>31.304347826086961</v>
      </c>
      <c r="AE95" s="2">
        <f t="shared" si="23"/>
        <v>76.959999999999994</v>
      </c>
      <c r="AF95" s="9">
        <f t="shared" si="24"/>
        <v>0.65833333333333344</v>
      </c>
      <c r="AG95" s="9">
        <f t="shared" si="25"/>
        <v>0.74534161490683237</v>
      </c>
      <c r="AH95" s="70">
        <f t="shared" si="26"/>
        <v>0.49068322981366475</v>
      </c>
      <c r="AI95"/>
    </row>
    <row r="96" spans="1:35" x14ac:dyDescent="0.25">
      <c r="A96" s="22">
        <v>14</v>
      </c>
      <c r="B96" s="24">
        <v>46112</v>
      </c>
      <c r="C96" s="1" t="s">
        <v>34</v>
      </c>
      <c r="D96" s="1">
        <v>274</v>
      </c>
      <c r="E96" s="4" t="s">
        <v>37</v>
      </c>
      <c r="F96" s="5" t="s">
        <v>36</v>
      </c>
      <c r="G96" s="22">
        <v>26685.35</v>
      </c>
      <c r="H96" s="22">
        <v>21384.049999999996</v>
      </c>
      <c r="I96" s="22">
        <v>265</v>
      </c>
      <c r="J96" s="22">
        <v>3</v>
      </c>
      <c r="K96" s="22" t="s">
        <v>48</v>
      </c>
      <c r="L96" s="22"/>
      <c r="M96" s="22"/>
      <c r="N96" s="4" cm="1">
        <f t="array" ref="N96">_xlfn.IFS(E96="MOLINOS CHAMPION S.F",42,E96="PROPALCOL",42,E96="MASTERTEC",42,E96="GANADERIA OVIA",42,E96="ENGORDE",40,E96="DESCARTES",40,E96="REPRODUCTORA",10,E96="BAJO PESO",40,E96="CHICKENCORP",42)</f>
        <v>40</v>
      </c>
      <c r="O96" s="7">
        <f t="shared" si="14"/>
        <v>0.80134043585712744</v>
      </c>
      <c r="P96" s="22">
        <f t="shared" si="15"/>
        <v>100.69943396226415</v>
      </c>
      <c r="Q96" s="22">
        <f t="shared" si="16"/>
        <v>80.694528301886777</v>
      </c>
      <c r="R96" s="7">
        <f t="shared" si="17"/>
        <v>0.98867924528301887</v>
      </c>
      <c r="S96" s="22">
        <v>32</v>
      </c>
      <c r="T96" s="23">
        <v>0.40625</v>
      </c>
      <c r="U96" s="23">
        <v>0.63055555555555554</v>
      </c>
      <c r="V96" s="12"/>
      <c r="W96" s="12"/>
      <c r="X96" s="2"/>
      <c r="Y96" s="2">
        <f t="shared" si="18"/>
        <v>0</v>
      </c>
      <c r="Z96" s="2">
        <v>1</v>
      </c>
      <c r="AA96" s="2">
        <f t="shared" si="19"/>
        <v>6.625</v>
      </c>
      <c r="AB96" s="8">
        <f t="shared" si="20"/>
        <v>4.3833333333333337</v>
      </c>
      <c r="AC96" s="8">
        <f t="shared" si="21"/>
        <v>0</v>
      </c>
      <c r="AD96" s="10">
        <f t="shared" si="22"/>
        <v>60.456273764258547</v>
      </c>
      <c r="AE96" s="2">
        <f t="shared" si="23"/>
        <v>152.44999999999999</v>
      </c>
      <c r="AF96" s="9">
        <f t="shared" si="24"/>
        <v>1</v>
      </c>
      <c r="AG96" s="9">
        <f t="shared" si="25"/>
        <v>1</v>
      </c>
      <c r="AH96" s="70">
        <f t="shared" si="26"/>
        <v>0.98867924528301887</v>
      </c>
      <c r="AI96"/>
    </row>
    <row r="97" spans="1:35" x14ac:dyDescent="0.25">
      <c r="A97" s="22">
        <v>14</v>
      </c>
      <c r="B97" s="24">
        <v>46113</v>
      </c>
      <c r="C97" s="1" t="s">
        <v>34</v>
      </c>
      <c r="D97" s="1">
        <v>5470</v>
      </c>
      <c r="E97" s="4" t="s">
        <v>35</v>
      </c>
      <c r="F97" s="5" t="s">
        <v>36</v>
      </c>
      <c r="G97" s="22">
        <v>6425.4999999999991</v>
      </c>
      <c r="H97" s="22">
        <v>4947.6499999999987</v>
      </c>
      <c r="I97" s="22">
        <v>60</v>
      </c>
      <c r="J97" s="22"/>
      <c r="K97" s="22"/>
      <c r="L97" s="22"/>
      <c r="M97" s="22"/>
      <c r="N97" s="4" cm="1">
        <f t="array" ref="N97">_xlfn.IFS(E97="MOLINOS CHAMPION S.F",42,E97="PROPALCOL",42,E97="MASTERTEC",42,E97="GANADERIA OVIA",42,E97="ENGORDE",40,E97="DESCARTES",40,E97="REPRODUCTORA",10,E97="BAJO PESO",40,E97="CHICKENCORP",42)</f>
        <v>42</v>
      </c>
      <c r="O97" s="7">
        <f t="shared" si="14"/>
        <v>0.77000233444868094</v>
      </c>
      <c r="P97" s="22">
        <f t="shared" si="15"/>
        <v>107.09166666666665</v>
      </c>
      <c r="Q97" s="22">
        <f t="shared" si="16"/>
        <v>82.460833333333312</v>
      </c>
      <c r="R97" s="7">
        <f t="shared" si="17"/>
        <v>1</v>
      </c>
      <c r="S97" s="22">
        <v>32</v>
      </c>
      <c r="T97" s="23">
        <v>0.29166666666666669</v>
      </c>
      <c r="U97" s="23">
        <v>0.37013888888888891</v>
      </c>
      <c r="V97" s="12"/>
      <c r="W97" s="12"/>
      <c r="X97" s="2"/>
      <c r="Y97" s="2">
        <f t="shared" si="18"/>
        <v>0</v>
      </c>
      <c r="Z97" s="2"/>
      <c r="AA97" s="2">
        <f t="shared" si="19"/>
        <v>1.4285714285714286</v>
      </c>
      <c r="AB97" s="8">
        <f t="shared" si="20"/>
        <v>1.8833333333333333</v>
      </c>
      <c r="AC97" s="8">
        <f t="shared" si="21"/>
        <v>0.4547619047619047</v>
      </c>
      <c r="AD97" s="10">
        <f t="shared" si="22"/>
        <v>31.858407079646017</v>
      </c>
      <c r="AE97" s="2">
        <f t="shared" si="23"/>
        <v>82.1</v>
      </c>
      <c r="AF97" s="9">
        <f t="shared" si="24"/>
        <v>0.68166666666666675</v>
      </c>
      <c r="AG97" s="9">
        <f t="shared" si="25"/>
        <v>0.75853350189633373</v>
      </c>
      <c r="AH97" s="70">
        <f t="shared" si="26"/>
        <v>0.51706700379266757</v>
      </c>
      <c r="AI97"/>
    </row>
    <row r="98" spans="1:35" x14ac:dyDescent="0.25">
      <c r="A98" s="22">
        <v>14</v>
      </c>
      <c r="B98" s="24">
        <v>46113</v>
      </c>
      <c r="C98" s="1" t="s">
        <v>34</v>
      </c>
      <c r="D98" s="1">
        <v>274</v>
      </c>
      <c r="E98" s="4" t="s">
        <v>37</v>
      </c>
      <c r="F98" s="5" t="s">
        <v>36</v>
      </c>
      <c r="G98" s="22">
        <v>23597.849999999995</v>
      </c>
      <c r="H98" s="22">
        <v>18842.55000000001</v>
      </c>
      <c r="I98" s="22">
        <v>237</v>
      </c>
      <c r="J98" s="22">
        <v>12</v>
      </c>
      <c r="K98" s="22" t="s">
        <v>49</v>
      </c>
      <c r="L98" s="22"/>
      <c r="M98" s="22"/>
      <c r="N98" s="4" cm="1">
        <f t="array" ref="N98">_xlfn.IFS(E98="MOLINOS CHAMPION S.F",42,E98="PROPALCOL",42,E98="MASTERTEC",42,E98="GANADERIA OVIA",42,E98="ENGORDE",40,E98="DESCARTES",40,E98="REPRODUCTORA",10,E98="BAJO PESO",40,E98="CHICKENCORP",42)</f>
        <v>40</v>
      </c>
      <c r="O98" s="7">
        <f t="shared" si="14"/>
        <v>0.79848587901016466</v>
      </c>
      <c r="P98" s="22">
        <f t="shared" si="15"/>
        <v>99.568987341772129</v>
      </c>
      <c r="Q98" s="22">
        <f t="shared" si="16"/>
        <v>79.504430379746879</v>
      </c>
      <c r="R98" s="7">
        <f t="shared" si="17"/>
        <v>0.94936708860759489</v>
      </c>
      <c r="S98" s="22">
        <v>32</v>
      </c>
      <c r="T98" s="23">
        <v>0.35069444444444442</v>
      </c>
      <c r="U98" s="23">
        <v>0.59305555555555556</v>
      </c>
      <c r="V98" s="12"/>
      <c r="W98" s="12"/>
      <c r="X98" s="2"/>
      <c r="Y98" s="2">
        <f t="shared" si="18"/>
        <v>0</v>
      </c>
      <c r="Z98" s="2">
        <v>1</v>
      </c>
      <c r="AA98" s="2">
        <f t="shared" si="19"/>
        <v>5.9249999999999998</v>
      </c>
      <c r="AB98" s="8">
        <f t="shared" ref="AB98:AB129" si="27">(HOUR(U98-T98)+MINUTE(U98-T98)/60)-Z98-Y98</f>
        <v>4.8166666666666664</v>
      </c>
      <c r="AC98" s="8">
        <f t="shared" si="21"/>
        <v>0</v>
      </c>
      <c r="AD98" s="10">
        <f t="shared" si="22"/>
        <v>49.20415224913495</v>
      </c>
      <c r="AE98" s="2">
        <f t="shared" si="23"/>
        <v>122.25</v>
      </c>
      <c r="AF98" s="9">
        <f t="shared" si="24"/>
        <v>1</v>
      </c>
      <c r="AG98" s="9">
        <f t="shared" si="25"/>
        <v>1</v>
      </c>
      <c r="AH98" s="70">
        <f t="shared" si="26"/>
        <v>0.94936708860759489</v>
      </c>
      <c r="AI98"/>
    </row>
    <row r="99" spans="1:35" x14ac:dyDescent="0.25">
      <c r="A99" s="22">
        <v>14</v>
      </c>
      <c r="B99" s="24">
        <v>46113</v>
      </c>
      <c r="C99" s="1" t="s">
        <v>34</v>
      </c>
      <c r="D99" s="1">
        <v>274</v>
      </c>
      <c r="E99" s="4" t="s">
        <v>37</v>
      </c>
      <c r="F99" s="5" t="s">
        <v>36</v>
      </c>
      <c r="G99" s="22">
        <v>22413.1</v>
      </c>
      <c r="H99" s="22">
        <v>17900.250000000004</v>
      </c>
      <c r="I99" s="22">
        <v>230</v>
      </c>
      <c r="J99" s="22">
        <v>10</v>
      </c>
      <c r="K99" s="22" t="s">
        <v>44</v>
      </c>
      <c r="L99" s="22"/>
      <c r="M99" s="22"/>
      <c r="N99" s="4" cm="1">
        <f t="array" ref="N99">_xlfn.IFS(E99="MOLINOS CHAMPION S.F",42,E99="PROPALCOL",42,E99="MASTERTEC",42,E99="GANADERIA OVIA",42,E99="ENGORDE",40,E99="DESCARTES",40,E99="REPRODUCTORA",10,E99="BAJO PESO",40,E99="CHICKENCORP",42)</f>
        <v>40</v>
      </c>
      <c r="O99" s="7">
        <f t="shared" si="14"/>
        <v>0.79865123521511994</v>
      </c>
      <c r="P99" s="22">
        <f t="shared" si="15"/>
        <v>97.448260869565217</v>
      </c>
      <c r="Q99" s="22">
        <f t="shared" si="16"/>
        <v>77.827173913043495</v>
      </c>
      <c r="R99" s="7">
        <f t="shared" si="17"/>
        <v>0.95652173913043481</v>
      </c>
      <c r="S99" s="22">
        <v>32</v>
      </c>
      <c r="T99" s="23">
        <v>0.29166666666666669</v>
      </c>
      <c r="U99" s="23">
        <v>0.47638888888888886</v>
      </c>
      <c r="V99" s="12"/>
      <c r="W99" s="12"/>
      <c r="X99" s="2"/>
      <c r="Y99" s="2">
        <f t="shared" si="18"/>
        <v>0</v>
      </c>
      <c r="Z99" s="2"/>
      <c r="AA99" s="2">
        <f t="shared" si="19"/>
        <v>5.75</v>
      </c>
      <c r="AB99" s="8">
        <f t="shared" si="27"/>
        <v>4.4333333333333336</v>
      </c>
      <c r="AC99" s="8">
        <f t="shared" si="21"/>
        <v>0</v>
      </c>
      <c r="AD99" s="10">
        <f t="shared" si="22"/>
        <v>51.879699248120296</v>
      </c>
      <c r="AE99" s="2">
        <f t="shared" si="23"/>
        <v>126.18</v>
      </c>
      <c r="AF99" s="9">
        <f t="shared" si="24"/>
        <v>1</v>
      </c>
      <c r="AG99" s="9">
        <f t="shared" si="25"/>
        <v>1</v>
      </c>
      <c r="AH99" s="70">
        <f t="shared" si="26"/>
        <v>0.95652173913043481</v>
      </c>
      <c r="AI99"/>
    </row>
    <row r="100" spans="1:35" x14ac:dyDescent="0.25">
      <c r="A100" s="22">
        <v>15</v>
      </c>
      <c r="B100" s="24">
        <v>46118</v>
      </c>
      <c r="C100" s="1" t="s">
        <v>34</v>
      </c>
      <c r="D100" s="1">
        <v>5470</v>
      </c>
      <c r="E100" s="4" t="s">
        <v>35</v>
      </c>
      <c r="F100" s="5" t="s">
        <v>36</v>
      </c>
      <c r="G100" s="22">
        <v>6160.4500000000016</v>
      </c>
      <c r="H100" s="22">
        <v>4681.8499999999985</v>
      </c>
      <c r="I100" s="22">
        <v>60</v>
      </c>
      <c r="J100" s="22"/>
      <c r="K100" s="22"/>
      <c r="L100" s="22"/>
      <c r="M100" s="22"/>
      <c r="N100" s="4" cm="1">
        <f t="array" ref="N100">_xlfn.IFS(E100="MOLINOS CHAMPION S.F",42,E100="PROPALCOL",42,E100="MASTERTEC",42,E100="GANADERIA OVIA",42,E100="ENGORDE",40,E100="DESCARTES",40,E100="REPRODUCTORA",10,E100="BAJO PESO",40,E100="CHICKENCORP",42)</f>
        <v>42</v>
      </c>
      <c r="O100" s="7">
        <f t="shared" si="14"/>
        <v>0.75998506602602034</v>
      </c>
      <c r="P100" s="22">
        <f t="shared" si="15"/>
        <v>102.67416666666669</v>
      </c>
      <c r="Q100" s="22">
        <f t="shared" si="16"/>
        <v>78.030833333333305</v>
      </c>
      <c r="R100" s="7">
        <f t="shared" si="17"/>
        <v>1</v>
      </c>
      <c r="S100" s="22">
        <v>29</v>
      </c>
      <c r="T100" s="23">
        <v>0.54166666666666663</v>
      </c>
      <c r="U100" s="23">
        <v>0.62569444444444444</v>
      </c>
      <c r="V100" s="12"/>
      <c r="W100" s="12"/>
      <c r="X100" s="2"/>
      <c r="Y100" s="2">
        <f t="shared" si="18"/>
        <v>0</v>
      </c>
      <c r="Z100" s="2"/>
      <c r="AA100" s="2">
        <f t="shared" si="19"/>
        <v>1.4285714285714286</v>
      </c>
      <c r="AB100" s="8">
        <f t="shared" si="27"/>
        <v>2.0166666666666666</v>
      </c>
      <c r="AC100" s="8">
        <f t="shared" si="21"/>
        <v>0.588095238095238</v>
      </c>
      <c r="AD100" s="10">
        <f t="shared" si="22"/>
        <v>29.75206611570248</v>
      </c>
      <c r="AE100" s="2">
        <f t="shared" si="23"/>
        <v>80.05</v>
      </c>
      <c r="AF100" s="9">
        <f t="shared" si="24"/>
        <v>0.58833333333333337</v>
      </c>
      <c r="AG100" s="9">
        <f t="shared" si="25"/>
        <v>0.70838252656434475</v>
      </c>
      <c r="AH100" s="70">
        <f t="shared" si="26"/>
        <v>0.4167650531286895</v>
      </c>
      <c r="AI100"/>
    </row>
    <row r="101" spans="1:35" x14ac:dyDescent="0.25">
      <c r="A101" s="22">
        <v>15</v>
      </c>
      <c r="B101" s="24">
        <v>46118</v>
      </c>
      <c r="C101" s="1" t="s">
        <v>34</v>
      </c>
      <c r="D101" s="1">
        <v>274</v>
      </c>
      <c r="E101" s="4" t="s">
        <v>37</v>
      </c>
      <c r="F101" s="5" t="s">
        <v>36</v>
      </c>
      <c r="G101" s="22">
        <v>25408.1</v>
      </c>
      <c r="H101" s="22">
        <v>20129.149999999998</v>
      </c>
      <c r="I101" s="22">
        <v>233</v>
      </c>
      <c r="J101" s="22"/>
      <c r="K101" s="22"/>
      <c r="L101" s="22"/>
      <c r="M101" s="22"/>
      <c r="N101" s="4" cm="1">
        <f t="array" ref="N101">_xlfn.IFS(E101="MOLINOS CHAMPION S.F",42,E101="PROPALCOL",42,E101="MASTERTEC",42,E101="GANADERIA OVIA",42,E101="ENGORDE",40,E101="DESCARTES",40,E101="REPRODUCTORA",10,E101="BAJO PESO",40,E101="CHICKENCORP",42)</f>
        <v>40</v>
      </c>
      <c r="O101" s="7">
        <f t="shared" si="14"/>
        <v>0.79223357905549796</v>
      </c>
      <c r="P101" s="22">
        <f t="shared" si="15"/>
        <v>109.04763948497853</v>
      </c>
      <c r="Q101" s="22">
        <f t="shared" si="16"/>
        <v>86.391201716738195</v>
      </c>
      <c r="R101" s="7">
        <f t="shared" si="17"/>
        <v>1</v>
      </c>
      <c r="S101" s="22">
        <v>30</v>
      </c>
      <c r="T101" s="23">
        <v>0.25</v>
      </c>
      <c r="U101" s="23">
        <v>0.50694444444444442</v>
      </c>
      <c r="V101" s="12"/>
      <c r="W101" s="12"/>
      <c r="X101" s="2"/>
      <c r="Y101" s="2">
        <f t="shared" si="18"/>
        <v>0</v>
      </c>
      <c r="Z101" s="2">
        <v>1</v>
      </c>
      <c r="AA101" s="2">
        <f t="shared" si="19"/>
        <v>5.8250000000000002</v>
      </c>
      <c r="AB101" s="8">
        <f t="shared" si="27"/>
        <v>5.166666666666667</v>
      </c>
      <c r="AC101" s="8">
        <f t="shared" si="21"/>
        <v>0</v>
      </c>
      <c r="AD101" s="10">
        <f t="shared" si="22"/>
        <v>45.096774193548384</v>
      </c>
      <c r="AE101" s="2">
        <f t="shared" si="23"/>
        <v>129.87</v>
      </c>
      <c r="AF101" s="9">
        <f t="shared" si="24"/>
        <v>1</v>
      </c>
      <c r="AG101" s="9">
        <f t="shared" si="25"/>
        <v>1</v>
      </c>
      <c r="AH101" s="70">
        <f t="shared" si="26"/>
        <v>1</v>
      </c>
      <c r="AI101"/>
    </row>
    <row r="102" spans="1:35" x14ac:dyDescent="0.25">
      <c r="A102" s="22">
        <v>15</v>
      </c>
      <c r="B102" s="24">
        <v>46118</v>
      </c>
      <c r="C102" s="1" t="s">
        <v>38</v>
      </c>
      <c r="D102" s="6"/>
      <c r="E102" s="4" t="s">
        <v>39</v>
      </c>
      <c r="F102" s="5" t="s">
        <v>42</v>
      </c>
      <c r="G102" s="22">
        <v>3852.55</v>
      </c>
      <c r="H102" s="22">
        <v>2889.4</v>
      </c>
      <c r="I102" s="22">
        <v>17</v>
      </c>
      <c r="J102" s="22"/>
      <c r="K102" s="22"/>
      <c r="L102" s="22"/>
      <c r="M102" s="22"/>
      <c r="N102" s="4" cm="1">
        <f t="array" ref="N102">_xlfn.IFS(E102="MOLINOS CHAMPION S.F",42,E102="PROPALCOL",42,E102="MASTERTEC",42,E102="GANADERIA OVIA",42,E102="ENGORDE",40,E102="DESCARTES",40,E102="REPRODUCTORA",10,E102="BAJO PESO",40,E102="CHICKENCORP",42)</f>
        <v>10</v>
      </c>
      <c r="O102" s="7">
        <f t="shared" si="14"/>
        <v>0.74999675539577682</v>
      </c>
      <c r="P102" s="22">
        <f t="shared" si="15"/>
        <v>226.62058823529412</v>
      </c>
      <c r="Q102" s="22">
        <f t="shared" si="16"/>
        <v>169.96470588235294</v>
      </c>
      <c r="R102" s="7">
        <f t="shared" si="17"/>
        <v>1</v>
      </c>
      <c r="S102" s="22">
        <v>30</v>
      </c>
      <c r="T102" s="23">
        <v>0.61458333333333337</v>
      </c>
      <c r="U102" s="23">
        <v>0.68055555555555558</v>
      </c>
      <c r="V102" s="12"/>
      <c r="W102" s="12"/>
      <c r="X102" s="2"/>
      <c r="Y102" s="2">
        <f t="shared" si="18"/>
        <v>0</v>
      </c>
      <c r="Z102" s="2"/>
      <c r="AA102" s="2">
        <f t="shared" si="19"/>
        <v>1.7</v>
      </c>
      <c r="AB102" s="8">
        <f t="shared" si="27"/>
        <v>1.5833333333333335</v>
      </c>
      <c r="AC102" s="8">
        <f t="shared" si="21"/>
        <v>0</v>
      </c>
      <c r="AD102" s="10">
        <f t="shared" si="22"/>
        <v>10.736842105263158</v>
      </c>
      <c r="AE102" s="2">
        <f t="shared" si="23"/>
        <v>60.83</v>
      </c>
      <c r="AF102" s="9">
        <f t="shared" si="24"/>
        <v>1</v>
      </c>
      <c r="AG102" s="9">
        <f t="shared" si="25"/>
        <v>1</v>
      </c>
      <c r="AH102" s="70">
        <f t="shared" si="26"/>
        <v>1</v>
      </c>
      <c r="AI102"/>
    </row>
    <row r="103" spans="1:35" x14ac:dyDescent="0.25">
      <c r="A103" s="22">
        <v>15</v>
      </c>
      <c r="B103" s="24">
        <v>46119</v>
      </c>
      <c r="C103" s="1" t="s">
        <v>34</v>
      </c>
      <c r="D103" s="1">
        <v>5470</v>
      </c>
      <c r="E103" s="4" t="s">
        <v>35</v>
      </c>
      <c r="F103" s="5" t="s">
        <v>36</v>
      </c>
      <c r="G103" s="22">
        <v>6618.1499999999978</v>
      </c>
      <c r="H103" s="22">
        <v>5066.300000000002</v>
      </c>
      <c r="I103" s="22">
        <v>60</v>
      </c>
      <c r="J103" s="22"/>
      <c r="K103" s="22"/>
      <c r="L103" s="22"/>
      <c r="M103" s="22"/>
      <c r="N103" s="4" cm="1">
        <f t="array" ref="N103">_xlfn.IFS(E103="MOLINOS CHAMPION S.F",42,E103="PROPALCOL",42,E103="MASTERTEC",42,E103="GANADERIA OVIA",42,E103="ENGORDE",40,E103="DESCARTES",40,E103="REPRODUCTORA",10,E103="BAJO PESO",40,E103="CHICKENCORP",42)</f>
        <v>42</v>
      </c>
      <c r="O103" s="7">
        <f t="shared" si="14"/>
        <v>0.7655160430029545</v>
      </c>
      <c r="P103" s="22">
        <f t="shared" si="15"/>
        <v>110.30249999999997</v>
      </c>
      <c r="Q103" s="22">
        <f t="shared" si="16"/>
        <v>84.438333333333361</v>
      </c>
      <c r="R103" s="7">
        <f t="shared" si="17"/>
        <v>1</v>
      </c>
      <c r="S103" s="22">
        <v>32</v>
      </c>
      <c r="T103" s="23">
        <v>0.52222222222222225</v>
      </c>
      <c r="U103" s="23">
        <v>0.62013888888888891</v>
      </c>
      <c r="V103" s="12"/>
      <c r="W103" s="12"/>
      <c r="X103" s="2"/>
      <c r="Y103" s="2">
        <f t="shared" si="18"/>
        <v>0</v>
      </c>
      <c r="Z103" s="2"/>
      <c r="AA103" s="2">
        <f t="shared" si="19"/>
        <v>1.4285714285714286</v>
      </c>
      <c r="AB103" s="8">
        <f t="shared" si="27"/>
        <v>2.35</v>
      </c>
      <c r="AC103" s="8">
        <f t="shared" si="21"/>
        <v>0.92142857142857149</v>
      </c>
      <c r="AD103" s="10">
        <f t="shared" si="22"/>
        <v>25.531914893617021</v>
      </c>
      <c r="AE103" s="2">
        <f t="shared" si="23"/>
        <v>67.37</v>
      </c>
      <c r="AF103" s="9">
        <f t="shared" si="24"/>
        <v>0.35499999999999998</v>
      </c>
      <c r="AG103" s="9">
        <f t="shared" si="25"/>
        <v>0.60790273556231</v>
      </c>
      <c r="AH103" s="70">
        <f t="shared" si="26"/>
        <v>0.21580547112462004</v>
      </c>
      <c r="AI103"/>
    </row>
    <row r="104" spans="1:35" x14ac:dyDescent="0.25">
      <c r="A104" s="22">
        <v>15</v>
      </c>
      <c r="B104" s="24">
        <v>46119</v>
      </c>
      <c r="C104" s="1" t="s">
        <v>34</v>
      </c>
      <c r="D104" s="1">
        <v>274</v>
      </c>
      <c r="E104" s="4" t="s">
        <v>37</v>
      </c>
      <c r="F104" s="5" t="s">
        <v>36</v>
      </c>
      <c r="G104" s="22">
        <v>24687.85</v>
      </c>
      <c r="H104" s="22">
        <v>19718.600000000002</v>
      </c>
      <c r="I104" s="22">
        <v>230</v>
      </c>
      <c r="J104" s="22"/>
      <c r="K104" s="22"/>
      <c r="L104" s="22"/>
      <c r="M104" s="22"/>
      <c r="N104" s="4" cm="1">
        <f t="array" ref="N104">_xlfn.IFS(E104="MOLINOS CHAMPION S.F",42,E104="PROPALCOL",42,E104="MASTERTEC",42,E104="GANADERIA OVIA",42,E104="ENGORDE",40,E104="DESCARTES",40,E104="REPRODUCTORA",10,E104="BAJO PESO",40,E104="CHICKENCORP",42)</f>
        <v>40</v>
      </c>
      <c r="O104" s="7">
        <f t="shared" si="14"/>
        <v>0.79871677768618987</v>
      </c>
      <c r="P104" s="22">
        <f t="shared" si="15"/>
        <v>107.33847826086956</v>
      </c>
      <c r="Q104" s="22">
        <f t="shared" si="16"/>
        <v>85.733043478260882</v>
      </c>
      <c r="R104" s="7">
        <f t="shared" si="17"/>
        <v>1</v>
      </c>
      <c r="S104" s="22">
        <v>32</v>
      </c>
      <c r="T104" s="23">
        <v>0.25</v>
      </c>
      <c r="U104" s="23">
        <v>0.50486111111111109</v>
      </c>
      <c r="V104" s="12"/>
      <c r="W104" s="12"/>
      <c r="X104" s="2"/>
      <c r="Y104" s="2">
        <f t="shared" si="18"/>
        <v>0</v>
      </c>
      <c r="Z104" s="2">
        <v>1</v>
      </c>
      <c r="AA104" s="2">
        <f t="shared" si="19"/>
        <v>5.75</v>
      </c>
      <c r="AB104" s="8">
        <f t="shared" si="27"/>
        <v>5.1166666666666663</v>
      </c>
      <c r="AC104" s="8">
        <f t="shared" si="21"/>
        <v>0</v>
      </c>
      <c r="AD104" s="10">
        <f t="shared" si="22"/>
        <v>44.951140065146582</v>
      </c>
      <c r="AE104" s="2">
        <f t="shared" si="23"/>
        <v>120.43</v>
      </c>
      <c r="AF104" s="9">
        <f t="shared" si="24"/>
        <v>1</v>
      </c>
      <c r="AG104" s="9">
        <f t="shared" si="25"/>
        <v>1</v>
      </c>
      <c r="AH104" s="70">
        <f t="shared" si="26"/>
        <v>1</v>
      </c>
      <c r="AI104"/>
    </row>
    <row r="105" spans="1:35" x14ac:dyDescent="0.25">
      <c r="A105" s="22">
        <v>15</v>
      </c>
      <c r="B105" s="24">
        <v>46120</v>
      </c>
      <c r="C105" s="1" t="s">
        <v>34</v>
      </c>
      <c r="D105" s="1">
        <v>5470</v>
      </c>
      <c r="E105" s="4" t="s">
        <v>35</v>
      </c>
      <c r="F105" s="5" t="s">
        <v>36</v>
      </c>
      <c r="G105" s="22">
        <v>6506.4</v>
      </c>
      <c r="H105" s="22">
        <v>4957.4999999999982</v>
      </c>
      <c r="I105" s="22">
        <v>60</v>
      </c>
      <c r="J105" s="22"/>
      <c r="K105" s="22"/>
      <c r="L105" s="22"/>
      <c r="M105" s="22"/>
      <c r="N105" s="4" cm="1">
        <f t="array" ref="N105">_xlfn.IFS(E105="MOLINOS CHAMPION S.F",42,E105="PROPALCOL",42,E105="MASTERTEC",42,E105="GANADERIA OVIA",42,E105="ENGORDE",40,E105="DESCARTES",40,E105="REPRODUCTORA",10,E105="BAJO PESO",40,E105="CHICKENCORP",42)</f>
        <v>42</v>
      </c>
      <c r="O105" s="7">
        <f t="shared" si="14"/>
        <v>0.761942087790483</v>
      </c>
      <c r="P105" s="22">
        <f t="shared" si="15"/>
        <v>108.44</v>
      </c>
      <c r="Q105" s="22">
        <f t="shared" si="16"/>
        <v>82.624999999999972</v>
      </c>
      <c r="R105" s="7">
        <f t="shared" si="17"/>
        <v>1</v>
      </c>
      <c r="S105" s="22">
        <v>33</v>
      </c>
      <c r="T105" s="23">
        <v>0.53472222222222221</v>
      </c>
      <c r="U105" s="23">
        <v>0.60486111111111107</v>
      </c>
      <c r="V105" s="12"/>
      <c r="W105" s="12"/>
      <c r="X105" s="2"/>
      <c r="Y105" s="2">
        <f t="shared" si="18"/>
        <v>0</v>
      </c>
      <c r="Z105" s="2"/>
      <c r="AA105" s="2">
        <f t="shared" si="19"/>
        <v>1.4285714285714286</v>
      </c>
      <c r="AB105" s="8">
        <f t="shared" si="27"/>
        <v>1.6833333333333333</v>
      </c>
      <c r="AC105" s="8">
        <f t="shared" si="21"/>
        <v>0.25476190476190474</v>
      </c>
      <c r="AD105" s="10">
        <f t="shared" si="22"/>
        <v>35.643564356435647</v>
      </c>
      <c r="AE105" s="2">
        <f t="shared" si="23"/>
        <v>89.24</v>
      </c>
      <c r="AF105" s="9">
        <f t="shared" si="24"/>
        <v>0.82166666666666666</v>
      </c>
      <c r="AG105" s="9">
        <f t="shared" si="25"/>
        <v>0.84865629420084876</v>
      </c>
      <c r="AH105" s="70">
        <f t="shared" si="26"/>
        <v>0.69731258840169741</v>
      </c>
      <c r="AI105"/>
    </row>
    <row r="106" spans="1:35" x14ac:dyDescent="0.25">
      <c r="A106" s="22">
        <v>15</v>
      </c>
      <c r="B106" s="24">
        <v>46120</v>
      </c>
      <c r="C106" s="1" t="s">
        <v>34</v>
      </c>
      <c r="D106" s="1">
        <v>274</v>
      </c>
      <c r="E106" s="4" t="s">
        <v>37</v>
      </c>
      <c r="F106" s="5" t="s">
        <v>36</v>
      </c>
      <c r="G106" s="22">
        <v>27576.799999999996</v>
      </c>
      <c r="H106" s="22">
        <v>21605.144999999997</v>
      </c>
      <c r="I106" s="22">
        <v>275</v>
      </c>
      <c r="J106" s="22">
        <v>20</v>
      </c>
      <c r="K106" s="22" t="s">
        <v>44</v>
      </c>
      <c r="L106" s="22"/>
      <c r="M106" s="22"/>
      <c r="N106" s="4" cm="1">
        <f t="array" ref="N106">_xlfn.IFS(E106="MOLINOS CHAMPION S.F",42,E106="PROPALCOL",42,E106="MASTERTEC",42,E106="GANADERIA OVIA",42,E106="ENGORDE",40,E106="DESCARTES",40,E106="REPRODUCTORA",10,E106="BAJO PESO",40,E106="CHICKENCORP",42)</f>
        <v>40</v>
      </c>
      <c r="O106" s="7">
        <f t="shared" si="14"/>
        <v>0.78345366394940674</v>
      </c>
      <c r="P106" s="22">
        <f t="shared" si="15"/>
        <v>100.27927272727271</v>
      </c>
      <c r="Q106" s="22">
        <f t="shared" si="16"/>
        <v>78.564163636363631</v>
      </c>
      <c r="R106" s="7">
        <f t="shared" si="17"/>
        <v>0.92727272727272725</v>
      </c>
      <c r="S106" s="22">
        <v>33</v>
      </c>
      <c r="T106" s="23">
        <v>0.25</v>
      </c>
      <c r="U106" s="23">
        <v>0.55208333333333337</v>
      </c>
      <c r="V106" s="12"/>
      <c r="W106" s="12"/>
      <c r="X106" s="2"/>
      <c r="Y106" s="2">
        <f t="shared" si="18"/>
        <v>0</v>
      </c>
      <c r="Z106" s="2">
        <v>1</v>
      </c>
      <c r="AA106" s="2">
        <f t="shared" si="19"/>
        <v>6.875</v>
      </c>
      <c r="AB106" s="8">
        <f t="shared" si="27"/>
        <v>6.25</v>
      </c>
      <c r="AC106" s="8">
        <f t="shared" si="21"/>
        <v>0</v>
      </c>
      <c r="AD106" s="10">
        <f t="shared" si="22"/>
        <v>44</v>
      </c>
      <c r="AE106" s="2">
        <f t="shared" si="23"/>
        <v>104.75</v>
      </c>
      <c r="AF106" s="9">
        <f t="shared" si="24"/>
        <v>1</v>
      </c>
      <c r="AG106" s="9">
        <f t="shared" si="25"/>
        <v>1</v>
      </c>
      <c r="AH106" s="70">
        <f t="shared" si="26"/>
        <v>0.92727272727272725</v>
      </c>
      <c r="AI106"/>
    </row>
    <row r="107" spans="1:35" x14ac:dyDescent="0.25">
      <c r="A107" s="22">
        <v>16</v>
      </c>
      <c r="B107" s="24">
        <v>46125</v>
      </c>
      <c r="C107" s="1" t="s">
        <v>34</v>
      </c>
      <c r="D107" s="1">
        <v>5470</v>
      </c>
      <c r="E107" s="4" t="s">
        <v>35</v>
      </c>
      <c r="F107" s="5" t="s">
        <v>36</v>
      </c>
      <c r="G107" s="22">
        <v>12773.699999999997</v>
      </c>
      <c r="H107" s="22">
        <v>9770.8499999999949</v>
      </c>
      <c r="I107" s="22">
        <v>120</v>
      </c>
      <c r="J107" s="22"/>
      <c r="K107" s="22"/>
      <c r="L107" s="22"/>
      <c r="M107" s="22"/>
      <c r="N107" s="4" cm="1">
        <f t="array" ref="N107">_xlfn.IFS(E107="MOLINOS CHAMPION S.F",42,E107="PROPALCOL",42,E107="MASTERTEC",42,E107="GANADERIA OVIA",42,E107="ENGORDE",40,E107="DESCARTES",40,E107="REPRODUCTORA",10,E107="BAJO PESO",40,E107="CHICKENCORP",42)</f>
        <v>42</v>
      </c>
      <c r="O107" s="7">
        <f t="shared" si="14"/>
        <v>0.7649193264285209</v>
      </c>
      <c r="P107" s="22">
        <f t="shared" si="15"/>
        <v>106.44749999999998</v>
      </c>
      <c r="Q107" s="22">
        <f t="shared" si="16"/>
        <v>81.423749999999956</v>
      </c>
      <c r="R107" s="7">
        <f t="shared" si="17"/>
        <v>1</v>
      </c>
      <c r="S107" s="22">
        <v>34</v>
      </c>
      <c r="T107" s="23">
        <v>0.45833333333333331</v>
      </c>
      <c r="U107" s="23">
        <v>0.58333333333333337</v>
      </c>
      <c r="V107" s="12"/>
      <c r="W107" s="12"/>
      <c r="X107" s="2"/>
      <c r="Y107" s="2">
        <f t="shared" si="18"/>
        <v>0</v>
      </c>
      <c r="Z107" s="2"/>
      <c r="AA107" s="2">
        <f t="shared" si="19"/>
        <v>2.8571428571428572</v>
      </c>
      <c r="AB107" s="8">
        <f t="shared" si="27"/>
        <v>3</v>
      </c>
      <c r="AC107" s="8">
        <f t="shared" si="21"/>
        <v>0.14285714285714279</v>
      </c>
      <c r="AD107" s="10">
        <f t="shared" si="22"/>
        <v>40</v>
      </c>
      <c r="AE107" s="2">
        <f t="shared" si="23"/>
        <v>95.79</v>
      </c>
      <c r="AF107" s="9">
        <f t="shared" si="24"/>
        <v>0.95000000000000007</v>
      </c>
      <c r="AG107" s="9">
        <f t="shared" si="25"/>
        <v>0.95238095238095233</v>
      </c>
      <c r="AH107" s="70">
        <f t="shared" si="26"/>
        <v>0.90476190476190477</v>
      </c>
      <c r="AI107"/>
    </row>
    <row r="108" spans="1:35" x14ac:dyDescent="0.25">
      <c r="A108" s="22">
        <v>16</v>
      </c>
      <c r="B108" s="24">
        <v>46125</v>
      </c>
      <c r="C108" s="1" t="s">
        <v>34</v>
      </c>
      <c r="D108" s="1">
        <v>274</v>
      </c>
      <c r="E108" s="4" t="s">
        <v>37</v>
      </c>
      <c r="F108" s="5" t="s">
        <v>36</v>
      </c>
      <c r="G108" s="22">
        <v>12525.4</v>
      </c>
      <c r="H108" s="22">
        <v>9703.1499999999978</v>
      </c>
      <c r="I108" s="22">
        <v>118</v>
      </c>
      <c r="J108" s="22"/>
      <c r="K108" s="22"/>
      <c r="L108" s="22"/>
      <c r="M108" s="22"/>
      <c r="N108" s="4" cm="1">
        <f t="array" ref="N108">_xlfn.IFS(E108="MOLINOS CHAMPION S.F",42,E108="PROPALCOL",42,E108="MASTERTEC",42,E108="GANADERIA OVIA",42,E108="ENGORDE",40,E108="DESCARTES",40,E108="REPRODUCTORA",10,E108="BAJO PESO",40,E108="CHICKENCORP",42)</f>
        <v>40</v>
      </c>
      <c r="O108" s="7">
        <f t="shared" si="14"/>
        <v>0.77467785459945371</v>
      </c>
      <c r="P108" s="22">
        <f t="shared" si="15"/>
        <v>106.14745762711864</v>
      </c>
      <c r="Q108" s="22">
        <f t="shared" si="16"/>
        <v>82.230084745762696</v>
      </c>
      <c r="R108" s="7">
        <f t="shared" si="17"/>
        <v>1</v>
      </c>
      <c r="S108" s="22">
        <v>34</v>
      </c>
      <c r="T108" s="23">
        <v>0.26041666666666669</v>
      </c>
      <c r="U108" s="23">
        <v>0.4152777777777778</v>
      </c>
      <c r="V108" s="12"/>
      <c r="W108" s="12"/>
      <c r="X108" s="2"/>
      <c r="Y108" s="2">
        <f t="shared" si="18"/>
        <v>0</v>
      </c>
      <c r="Z108" s="2">
        <v>1</v>
      </c>
      <c r="AA108" s="2">
        <f t="shared" si="19"/>
        <v>2.95</v>
      </c>
      <c r="AB108" s="8">
        <f t="shared" si="27"/>
        <v>2.7166666666666668</v>
      </c>
      <c r="AC108" s="8">
        <f t="shared" si="21"/>
        <v>0</v>
      </c>
      <c r="AD108" s="10">
        <f t="shared" si="22"/>
        <v>43.435582822085891</v>
      </c>
      <c r="AE108" s="2">
        <f t="shared" si="23"/>
        <v>105.05</v>
      </c>
      <c r="AF108" s="9">
        <f t="shared" si="24"/>
        <v>1</v>
      </c>
      <c r="AG108" s="9">
        <f t="shared" si="25"/>
        <v>1</v>
      </c>
      <c r="AH108" s="70">
        <f t="shared" si="26"/>
        <v>1</v>
      </c>
      <c r="AI108"/>
    </row>
    <row r="109" spans="1:35" x14ac:dyDescent="0.25">
      <c r="A109" s="22">
        <v>16</v>
      </c>
      <c r="B109" s="24">
        <v>46125</v>
      </c>
      <c r="C109" s="1" t="s">
        <v>38</v>
      </c>
      <c r="D109" s="6"/>
      <c r="E109" s="4" t="s">
        <v>39</v>
      </c>
      <c r="F109" s="5" t="s">
        <v>42</v>
      </c>
      <c r="G109" s="22">
        <v>3726.45</v>
      </c>
      <c r="H109" s="22">
        <v>2919.5</v>
      </c>
      <c r="I109" s="22">
        <v>17</v>
      </c>
      <c r="J109" s="22"/>
      <c r="K109" s="22"/>
      <c r="L109" s="22"/>
      <c r="M109" s="22"/>
      <c r="N109" s="4" cm="1">
        <f t="array" ref="N109">_xlfn.IFS(E109="MOLINOS CHAMPION S.F",42,E109="PROPALCOL",42,E109="MASTERTEC",42,E109="GANADERIA OVIA",42,E109="ENGORDE",40,E109="DESCARTES",40,E109="REPRODUCTORA",10,E109="BAJO PESO",40,E109="CHICKENCORP",42)</f>
        <v>10</v>
      </c>
      <c r="O109" s="7">
        <f t="shared" si="14"/>
        <v>0.78345342081605818</v>
      </c>
      <c r="P109" s="22">
        <f t="shared" si="15"/>
        <v>219.20294117647057</v>
      </c>
      <c r="Q109" s="22">
        <f t="shared" si="16"/>
        <v>171.73529411764707</v>
      </c>
      <c r="R109" s="7">
        <f t="shared" si="17"/>
        <v>1</v>
      </c>
      <c r="S109" s="22">
        <v>34</v>
      </c>
      <c r="T109" s="23">
        <v>0.56944444444444442</v>
      </c>
      <c r="U109" s="23">
        <v>0.63888888888888884</v>
      </c>
      <c r="V109" s="12"/>
      <c r="W109" s="12"/>
      <c r="X109" s="2"/>
      <c r="Y109" s="2">
        <f t="shared" si="18"/>
        <v>0</v>
      </c>
      <c r="Z109" s="2"/>
      <c r="AA109" s="2">
        <f t="shared" si="19"/>
        <v>1.7</v>
      </c>
      <c r="AB109" s="8">
        <f t="shared" si="27"/>
        <v>1.6666666666666665</v>
      </c>
      <c r="AC109" s="8">
        <f t="shared" si="21"/>
        <v>0</v>
      </c>
      <c r="AD109" s="10">
        <f t="shared" si="22"/>
        <v>10.200000000000001</v>
      </c>
      <c r="AE109" s="2">
        <f t="shared" si="23"/>
        <v>51.52</v>
      </c>
      <c r="AF109" s="9">
        <f t="shared" si="24"/>
        <v>1</v>
      </c>
      <c r="AG109" s="9">
        <f t="shared" si="25"/>
        <v>1</v>
      </c>
      <c r="AH109" s="70">
        <f t="shared" si="26"/>
        <v>1</v>
      </c>
      <c r="AI109"/>
    </row>
    <row r="110" spans="1:35" x14ac:dyDescent="0.25">
      <c r="A110" s="22">
        <v>16</v>
      </c>
      <c r="B110" s="24">
        <v>46126</v>
      </c>
      <c r="C110" s="1" t="s">
        <v>34</v>
      </c>
      <c r="D110" s="1">
        <v>5470</v>
      </c>
      <c r="E110" s="4" t="s">
        <v>35</v>
      </c>
      <c r="F110" s="5" t="s">
        <v>36</v>
      </c>
      <c r="G110" s="22">
        <v>6306.8500000000022</v>
      </c>
      <c r="H110" s="22">
        <v>4813.7000000000007</v>
      </c>
      <c r="I110" s="22">
        <v>60</v>
      </c>
      <c r="J110" s="22"/>
      <c r="K110" s="22"/>
      <c r="L110" s="22"/>
      <c r="M110" s="22"/>
      <c r="N110" s="4" cm="1">
        <f t="array" ref="N110">_xlfn.IFS(E110="MOLINOS CHAMPION S.F",42,E110="PROPALCOL",42,E110="MASTERTEC",42,E110="GANADERIA OVIA",42,E110="ENGORDE",40,E110="DESCARTES",40,E110="REPRODUCTORA",10,E110="BAJO PESO",40,E110="CHICKENCORP",42)</f>
        <v>42</v>
      </c>
      <c r="O110" s="7">
        <f t="shared" si="14"/>
        <v>0.76324948270531234</v>
      </c>
      <c r="P110" s="22">
        <f t="shared" si="15"/>
        <v>105.1141666666667</v>
      </c>
      <c r="Q110" s="22">
        <f t="shared" si="16"/>
        <v>80.228333333333339</v>
      </c>
      <c r="R110" s="7">
        <f t="shared" si="17"/>
        <v>1</v>
      </c>
      <c r="S110" s="22">
        <v>39</v>
      </c>
      <c r="T110" s="23">
        <v>0.54166666666666663</v>
      </c>
      <c r="U110" s="23">
        <v>0.61597222222222225</v>
      </c>
      <c r="V110" s="12"/>
      <c r="W110" s="12"/>
      <c r="X110" s="2"/>
      <c r="Y110" s="2">
        <f t="shared" si="18"/>
        <v>0</v>
      </c>
      <c r="Z110" s="2"/>
      <c r="AA110" s="2">
        <f t="shared" si="19"/>
        <v>1.4285714285714286</v>
      </c>
      <c r="AB110" s="8">
        <f t="shared" si="27"/>
        <v>1.7833333333333332</v>
      </c>
      <c r="AC110" s="8">
        <f t="shared" si="21"/>
        <v>0.35476190476190461</v>
      </c>
      <c r="AD110" s="10">
        <f t="shared" si="22"/>
        <v>33.644859813084118</v>
      </c>
      <c r="AE110" s="2">
        <f t="shared" si="23"/>
        <v>69.209999999999994</v>
      </c>
      <c r="AF110" s="9">
        <f t="shared" si="24"/>
        <v>0.75166666666666682</v>
      </c>
      <c r="AG110" s="9">
        <f t="shared" si="25"/>
        <v>0.80106809078771712</v>
      </c>
      <c r="AH110" s="70">
        <f t="shared" si="26"/>
        <v>0.60213618157543414</v>
      </c>
      <c r="AI110"/>
    </row>
    <row r="111" spans="1:35" x14ac:dyDescent="0.25">
      <c r="A111" s="22">
        <v>16</v>
      </c>
      <c r="B111" s="24">
        <v>46126</v>
      </c>
      <c r="C111" s="1" t="s">
        <v>34</v>
      </c>
      <c r="D111" s="1">
        <v>274</v>
      </c>
      <c r="E111" s="4" t="s">
        <v>37</v>
      </c>
      <c r="F111" s="5" t="s">
        <v>36</v>
      </c>
      <c r="G111" s="22">
        <v>24683.1</v>
      </c>
      <c r="H111" s="22">
        <v>19431.849999999991</v>
      </c>
      <c r="I111" s="22">
        <v>230</v>
      </c>
      <c r="J111" s="22"/>
      <c r="K111" s="22"/>
      <c r="L111" s="22"/>
      <c r="M111" s="22"/>
      <c r="N111" s="4" cm="1">
        <f t="array" ref="N111">_xlfn.IFS(E111="MOLINOS CHAMPION S.F",42,E111="PROPALCOL",42,E111="MASTERTEC",42,E111="GANADERIA OVIA",42,E111="ENGORDE",40,E111="DESCARTES",40,E111="REPRODUCTORA",10,E111="BAJO PESO",40,E111="CHICKENCORP",42)</f>
        <v>40</v>
      </c>
      <c r="O111" s="7">
        <f t="shared" si="14"/>
        <v>0.78725322184004409</v>
      </c>
      <c r="P111" s="22">
        <f t="shared" si="15"/>
        <v>107.31782608695652</v>
      </c>
      <c r="Q111" s="22">
        <f t="shared" si="16"/>
        <v>84.486304347826049</v>
      </c>
      <c r="R111" s="7">
        <f t="shared" si="17"/>
        <v>1</v>
      </c>
      <c r="S111" s="22">
        <v>37</v>
      </c>
      <c r="T111" s="23">
        <v>0.25694444444444442</v>
      </c>
      <c r="U111" s="23">
        <v>0.55763888888888891</v>
      </c>
      <c r="V111" s="12"/>
      <c r="W111" s="12"/>
      <c r="X111" s="2"/>
      <c r="Y111" s="2">
        <f t="shared" si="18"/>
        <v>0</v>
      </c>
      <c r="Z111" s="2">
        <v>1</v>
      </c>
      <c r="AA111" s="2">
        <f t="shared" si="19"/>
        <v>5.75</v>
      </c>
      <c r="AB111" s="8">
        <f t="shared" si="27"/>
        <v>6.2166666666666668</v>
      </c>
      <c r="AC111" s="8">
        <f t="shared" si="21"/>
        <v>0.46666666666666679</v>
      </c>
      <c r="AD111" s="10">
        <f t="shared" si="22"/>
        <v>36.997319034852545</v>
      </c>
      <c r="AE111" s="2">
        <f t="shared" si="23"/>
        <v>84.48</v>
      </c>
      <c r="AF111" s="9">
        <f t="shared" si="24"/>
        <v>0.91884057971014488</v>
      </c>
      <c r="AG111" s="9">
        <f t="shared" si="25"/>
        <v>0.92493297587131362</v>
      </c>
      <c r="AH111" s="70">
        <f t="shared" si="26"/>
        <v>0.84986595174262725</v>
      </c>
      <c r="AI111"/>
    </row>
    <row r="112" spans="1:35" x14ac:dyDescent="0.25">
      <c r="A112" s="22">
        <v>16</v>
      </c>
      <c r="B112" s="24">
        <v>46126</v>
      </c>
      <c r="C112" s="25" t="s">
        <v>34</v>
      </c>
      <c r="D112" s="25">
        <v>274</v>
      </c>
      <c r="E112" s="26" t="s">
        <v>37</v>
      </c>
      <c r="F112" s="27" t="s">
        <v>36</v>
      </c>
      <c r="G112" s="22">
        <v>7458.5999999999967</v>
      </c>
      <c r="H112" s="22">
        <v>6065.85</v>
      </c>
      <c r="I112" s="22">
        <v>60</v>
      </c>
      <c r="J112" s="22">
        <v>25</v>
      </c>
      <c r="K112" s="22" t="s">
        <v>49</v>
      </c>
      <c r="L112" s="22"/>
      <c r="M112" s="22"/>
      <c r="N112" s="4" cm="1">
        <f t="array" ref="N112">_xlfn.IFS(E112="MOLINOS CHAMPION S.F",42,E112="PROPALCOL",42,E112="MASTERTEC",42,E112="GANADERIA OVIA",42,E112="ENGORDE",40,E112="DESCARTES",40,E112="REPRODUCTORA",10,E112="BAJO PESO",40,E112="CHICKENCORP",42)</f>
        <v>40</v>
      </c>
      <c r="O112" s="7">
        <f t="shared" si="14"/>
        <v>0.81326924623924102</v>
      </c>
      <c r="P112" s="22">
        <f t="shared" si="15"/>
        <v>124.30999999999995</v>
      </c>
      <c r="Q112" s="22">
        <f t="shared" si="16"/>
        <v>101.09750000000001</v>
      </c>
      <c r="R112" s="7">
        <f t="shared" si="17"/>
        <v>0.58333333333333337</v>
      </c>
      <c r="S112" s="22">
        <v>37</v>
      </c>
      <c r="T112" s="23">
        <v>0.59583333333333333</v>
      </c>
      <c r="U112" s="23">
        <v>0.67222222222222228</v>
      </c>
      <c r="V112" s="12"/>
      <c r="W112" s="12"/>
      <c r="X112" s="2"/>
      <c r="Y112" s="2">
        <f t="shared" si="18"/>
        <v>0</v>
      </c>
      <c r="Z112" s="2"/>
      <c r="AA112" s="2">
        <f t="shared" si="19"/>
        <v>1.5</v>
      </c>
      <c r="AB112" s="8">
        <f t="shared" si="27"/>
        <v>1.8333333333333335</v>
      </c>
      <c r="AC112" s="8">
        <f t="shared" si="21"/>
        <v>0.33333333333333348</v>
      </c>
      <c r="AD112" s="10">
        <f t="shared" si="22"/>
        <v>32.727272727272727</v>
      </c>
      <c r="AE112" s="2">
        <f t="shared" si="23"/>
        <v>89.42</v>
      </c>
      <c r="AF112" s="9">
        <f t="shared" si="24"/>
        <v>0.77777777777777768</v>
      </c>
      <c r="AG112" s="9">
        <f t="shared" si="25"/>
        <v>0.81818181818181812</v>
      </c>
      <c r="AH112" s="70">
        <f t="shared" si="26"/>
        <v>0.37121212121212116</v>
      </c>
      <c r="AI112"/>
    </row>
    <row r="113" spans="1:35" x14ac:dyDescent="0.25">
      <c r="A113" s="22">
        <v>16</v>
      </c>
      <c r="B113" s="24">
        <v>46127</v>
      </c>
      <c r="C113" s="1" t="s">
        <v>34</v>
      </c>
      <c r="D113" s="1">
        <v>5470</v>
      </c>
      <c r="E113" s="4" t="s">
        <v>35</v>
      </c>
      <c r="F113" s="5" t="s">
        <v>36</v>
      </c>
      <c r="G113" s="22">
        <v>6460.5000000000009</v>
      </c>
      <c r="H113" s="22">
        <v>4952.6500000000024</v>
      </c>
      <c r="I113" s="22">
        <v>60</v>
      </c>
      <c r="J113" s="22"/>
      <c r="K113" s="22"/>
      <c r="L113" s="22"/>
      <c r="M113" s="22"/>
      <c r="N113" s="4" cm="1">
        <f t="array" ref="N113">_xlfn.IFS(E113="MOLINOS CHAMPION S.F",42,E113="PROPALCOL",42,E113="MASTERTEC",42,E113="GANADERIA OVIA",42,E113="ENGORDE",40,E113="DESCARTES",40,E113="REPRODUCTORA",10,E113="BAJO PESO",40,E113="CHICKENCORP",42)</f>
        <v>42</v>
      </c>
      <c r="O113" s="7">
        <f t="shared" si="14"/>
        <v>0.76660475195418332</v>
      </c>
      <c r="P113" s="22">
        <f t="shared" si="15"/>
        <v>107.67500000000001</v>
      </c>
      <c r="Q113" s="22">
        <f t="shared" si="16"/>
        <v>82.544166666666712</v>
      </c>
      <c r="R113" s="7">
        <f t="shared" si="17"/>
        <v>1</v>
      </c>
      <c r="S113" s="22">
        <v>40</v>
      </c>
      <c r="T113" s="23">
        <v>0.3576388888888889</v>
      </c>
      <c r="U113" s="23">
        <v>0.43402777777777779</v>
      </c>
      <c r="V113" s="12"/>
      <c r="W113" s="12"/>
      <c r="X113" s="2"/>
      <c r="Y113" s="2">
        <f t="shared" si="18"/>
        <v>0</v>
      </c>
      <c r="Z113" s="2"/>
      <c r="AA113" s="2">
        <f t="shared" si="19"/>
        <v>1.4285714285714286</v>
      </c>
      <c r="AB113" s="8">
        <f t="shared" si="27"/>
        <v>1.8333333333333335</v>
      </c>
      <c r="AC113" s="8">
        <f t="shared" si="21"/>
        <v>0.40476190476190488</v>
      </c>
      <c r="AD113" s="10">
        <f t="shared" si="22"/>
        <v>32.727272727272727</v>
      </c>
      <c r="AE113" s="2">
        <f t="shared" si="23"/>
        <v>67.540000000000006</v>
      </c>
      <c r="AF113" s="9">
        <f t="shared" si="24"/>
        <v>0.71666666666666656</v>
      </c>
      <c r="AG113" s="9">
        <f t="shared" si="25"/>
        <v>0.77922077922077926</v>
      </c>
      <c r="AH113" s="70">
        <f t="shared" si="26"/>
        <v>0.55844155844155841</v>
      </c>
      <c r="AI113"/>
    </row>
    <row r="114" spans="1:35" x14ac:dyDescent="0.25">
      <c r="A114" s="22">
        <v>16</v>
      </c>
      <c r="B114" s="24">
        <v>46127</v>
      </c>
      <c r="C114" s="1" t="s">
        <v>34</v>
      </c>
      <c r="D114" s="1">
        <v>274</v>
      </c>
      <c r="E114" s="4" t="s">
        <v>37</v>
      </c>
      <c r="F114" s="5" t="s">
        <v>36</v>
      </c>
      <c r="G114" s="22">
        <v>18348.900000000001</v>
      </c>
      <c r="H114" s="22">
        <v>14396.899999999998</v>
      </c>
      <c r="I114" s="22">
        <v>175</v>
      </c>
      <c r="J114" s="22"/>
      <c r="K114" s="22"/>
      <c r="L114" s="22"/>
      <c r="M114" s="22"/>
      <c r="N114" s="4" cm="1">
        <f t="array" ref="N114">_xlfn.IFS(E114="MOLINOS CHAMPION S.F",42,E114="PROPALCOL",42,E114="MASTERTEC",42,E114="GANADERIA OVIA",42,E114="ENGORDE",40,E114="DESCARTES",40,E114="REPRODUCTORA",10,E114="BAJO PESO",40,E114="CHICKENCORP",42)</f>
        <v>40</v>
      </c>
      <c r="O114" s="7">
        <f t="shared" si="14"/>
        <v>0.78461924148041551</v>
      </c>
      <c r="P114" s="22">
        <f t="shared" si="15"/>
        <v>104.85085714285715</v>
      </c>
      <c r="Q114" s="22">
        <f t="shared" si="16"/>
        <v>82.267999999999986</v>
      </c>
      <c r="R114" s="7">
        <f t="shared" si="17"/>
        <v>1</v>
      </c>
      <c r="S114" s="22">
        <v>40</v>
      </c>
      <c r="T114" s="23">
        <v>0.1736111111111111</v>
      </c>
      <c r="U114" s="23">
        <v>0.375</v>
      </c>
      <c r="V114" s="12"/>
      <c r="W114" s="12"/>
      <c r="X114" s="2"/>
      <c r="Y114" s="2">
        <f t="shared" si="18"/>
        <v>0</v>
      </c>
      <c r="Z114" s="2">
        <v>1</v>
      </c>
      <c r="AA114" s="2">
        <f t="shared" si="19"/>
        <v>4.375</v>
      </c>
      <c r="AB114" s="8">
        <f t="shared" si="27"/>
        <v>3.833333333333333</v>
      </c>
      <c r="AC114" s="8">
        <f t="shared" si="21"/>
        <v>0</v>
      </c>
      <c r="AD114" s="10">
        <f t="shared" si="22"/>
        <v>45.652173913043484</v>
      </c>
      <c r="AE114" s="2">
        <f t="shared" si="23"/>
        <v>93.89</v>
      </c>
      <c r="AF114" s="9">
        <f t="shared" si="24"/>
        <v>1</v>
      </c>
      <c r="AG114" s="9">
        <f t="shared" si="25"/>
        <v>1</v>
      </c>
      <c r="AH114" s="70">
        <f t="shared" si="26"/>
        <v>1</v>
      </c>
      <c r="AI114"/>
    </row>
    <row r="115" spans="1:35" x14ac:dyDescent="0.25">
      <c r="A115" s="22">
        <v>16</v>
      </c>
      <c r="B115" s="24">
        <v>46128</v>
      </c>
      <c r="C115" s="1" t="s">
        <v>34</v>
      </c>
      <c r="D115" s="1">
        <v>274</v>
      </c>
      <c r="E115" s="4" t="s">
        <v>37</v>
      </c>
      <c r="F115" s="5" t="s">
        <v>36</v>
      </c>
      <c r="G115" s="22">
        <v>22517.050000000003</v>
      </c>
      <c r="H115" s="22">
        <v>17688.700000000004</v>
      </c>
      <c r="I115" s="22">
        <v>210</v>
      </c>
      <c r="J115" s="22"/>
      <c r="K115" s="22"/>
      <c r="L115" s="22"/>
      <c r="M115" s="22"/>
      <c r="N115" s="4" cm="1">
        <f t="array" ref="N115">_xlfn.IFS(E115="MOLINOS CHAMPION S.F",42,E115="PROPALCOL",42,E115="MASTERTEC",42,E115="GANADERIA OVIA",42,E115="ENGORDE",40,E115="DESCARTES",40,E115="REPRODUCTORA",10,E115="BAJO PESO",40,E115="CHICKENCORP",42)</f>
        <v>40</v>
      </c>
      <c r="O115" s="7">
        <f t="shared" si="14"/>
        <v>0.78556915759391222</v>
      </c>
      <c r="P115" s="22">
        <f t="shared" si="15"/>
        <v>107.22404761904764</v>
      </c>
      <c r="Q115" s="22">
        <f t="shared" si="16"/>
        <v>84.231904761904786</v>
      </c>
      <c r="R115" s="7">
        <f t="shared" si="17"/>
        <v>1</v>
      </c>
      <c r="S115" s="22">
        <v>33</v>
      </c>
      <c r="T115" s="23">
        <v>0.16666666666666666</v>
      </c>
      <c r="U115" s="23">
        <v>0.39583333333333331</v>
      </c>
      <c r="V115" s="12"/>
      <c r="W115" s="12"/>
      <c r="X115" s="2"/>
      <c r="Y115" s="2">
        <f t="shared" si="18"/>
        <v>0</v>
      </c>
      <c r="Z115" s="2"/>
      <c r="AA115" s="2">
        <f t="shared" si="19"/>
        <v>5.25</v>
      </c>
      <c r="AB115" s="8">
        <f t="shared" si="27"/>
        <v>5.5</v>
      </c>
      <c r="AC115" s="8">
        <f t="shared" si="21"/>
        <v>0.25</v>
      </c>
      <c r="AD115" s="10">
        <f t="shared" si="22"/>
        <v>38.18181818181818</v>
      </c>
      <c r="AE115" s="2">
        <f t="shared" si="23"/>
        <v>97.46</v>
      </c>
      <c r="AF115" s="9">
        <f t="shared" si="24"/>
        <v>0.95238095238095233</v>
      </c>
      <c r="AG115" s="9">
        <f t="shared" si="25"/>
        <v>0.95454545454545447</v>
      </c>
      <c r="AH115" s="70">
        <f t="shared" si="26"/>
        <v>0.90909090909090895</v>
      </c>
      <c r="AI115"/>
    </row>
    <row r="116" spans="1:35" x14ac:dyDescent="0.25">
      <c r="A116" s="22">
        <v>17</v>
      </c>
      <c r="B116" s="24">
        <v>46132</v>
      </c>
      <c r="C116" s="1" t="s">
        <v>34</v>
      </c>
      <c r="D116" s="1">
        <v>5470</v>
      </c>
      <c r="E116" s="4" t="s">
        <v>35</v>
      </c>
      <c r="F116" s="5" t="s">
        <v>36</v>
      </c>
      <c r="G116" s="22">
        <v>12512.699999999999</v>
      </c>
      <c r="H116" s="22">
        <v>9530.2999999999975</v>
      </c>
      <c r="I116" s="22">
        <v>120</v>
      </c>
      <c r="J116" s="22"/>
      <c r="K116" s="22"/>
      <c r="L116" s="22"/>
      <c r="M116" s="22"/>
      <c r="N116" s="4" cm="1">
        <f t="array" ref="N116">_xlfn.IFS(E116="MOLINOS CHAMPION S.F",42,E116="PROPALCOL",42,E116="MASTERTEC",42,E116="GANADERIA OVIA",42,E116="ENGORDE",40,E116="DESCARTES",40,E116="REPRODUCTORA",10,E116="BAJO PESO",40,E116="CHICKENCORP",42)</f>
        <v>42</v>
      </c>
      <c r="O116" s="7">
        <f t="shared" si="14"/>
        <v>0.76165016343395098</v>
      </c>
      <c r="P116" s="22">
        <f t="shared" si="15"/>
        <v>104.27249999999999</v>
      </c>
      <c r="Q116" s="22">
        <f t="shared" si="16"/>
        <v>79.419166666666641</v>
      </c>
      <c r="R116" s="7">
        <f t="shared" si="17"/>
        <v>1</v>
      </c>
      <c r="S116" s="22">
        <v>30</v>
      </c>
      <c r="T116" s="23">
        <v>0.51041666666666663</v>
      </c>
      <c r="U116" s="23">
        <v>0.63888888888888884</v>
      </c>
      <c r="V116" s="12"/>
      <c r="W116" s="12"/>
      <c r="X116" s="2"/>
      <c r="Y116" s="2">
        <f t="shared" si="18"/>
        <v>0</v>
      </c>
      <c r="Z116" s="2"/>
      <c r="AA116" s="2">
        <f t="shared" si="19"/>
        <v>2.8571428571428572</v>
      </c>
      <c r="AB116" s="8">
        <f t="shared" si="27"/>
        <v>3.0833333333333335</v>
      </c>
      <c r="AC116" s="8">
        <f t="shared" si="21"/>
        <v>0.22619047619047628</v>
      </c>
      <c r="AD116" s="10">
        <f t="shared" si="22"/>
        <v>38.918918918918919</v>
      </c>
      <c r="AE116" s="2">
        <f t="shared" si="23"/>
        <v>103.03</v>
      </c>
      <c r="AF116" s="9">
        <f t="shared" si="24"/>
        <v>0.92083333333333328</v>
      </c>
      <c r="AG116" s="9">
        <f t="shared" si="25"/>
        <v>0.92664092664092668</v>
      </c>
      <c r="AH116" s="70">
        <f t="shared" si="26"/>
        <v>0.85328185328185324</v>
      </c>
      <c r="AI116"/>
    </row>
    <row r="117" spans="1:35" x14ac:dyDescent="0.25">
      <c r="A117" s="22">
        <v>17</v>
      </c>
      <c r="B117" s="24">
        <v>46132</v>
      </c>
      <c r="C117" s="1" t="s">
        <v>34</v>
      </c>
      <c r="D117" s="1">
        <v>274</v>
      </c>
      <c r="E117" s="4" t="s">
        <v>37</v>
      </c>
      <c r="F117" s="5" t="s">
        <v>36</v>
      </c>
      <c r="G117" s="22">
        <v>18691.702999999998</v>
      </c>
      <c r="H117" s="22">
        <v>14953.849999999993</v>
      </c>
      <c r="I117" s="22">
        <v>177</v>
      </c>
      <c r="J117" s="22"/>
      <c r="K117" s="22"/>
      <c r="L117" s="22"/>
      <c r="M117" s="22"/>
      <c r="N117" s="4" cm="1">
        <f t="array" ref="N117">_xlfn.IFS(E117="MOLINOS CHAMPION S.F",42,E117="PROPALCOL",42,E117="MASTERTEC",42,E117="GANADERIA OVIA",42,E117="ENGORDE",40,E117="DESCARTES",40,E117="REPRODUCTORA",10,E117="BAJO PESO",40,E117="CHICKENCORP",42)</f>
        <v>40</v>
      </c>
      <c r="O117" s="7">
        <f t="shared" si="14"/>
        <v>0.80002608644059858</v>
      </c>
      <c r="P117" s="22">
        <f t="shared" si="15"/>
        <v>105.6028418079096</v>
      </c>
      <c r="Q117" s="22">
        <f t="shared" si="16"/>
        <v>84.485028248587525</v>
      </c>
      <c r="R117" s="7">
        <f t="shared" si="17"/>
        <v>1</v>
      </c>
      <c r="S117" s="22">
        <v>30</v>
      </c>
      <c r="T117" s="23">
        <v>0.25694444444444442</v>
      </c>
      <c r="U117" s="23">
        <v>0.48125000000000001</v>
      </c>
      <c r="V117" s="12"/>
      <c r="W117" s="12"/>
      <c r="X117" s="2"/>
      <c r="Y117" s="2">
        <f t="shared" si="18"/>
        <v>0</v>
      </c>
      <c r="Z117" s="2">
        <v>1</v>
      </c>
      <c r="AA117" s="2">
        <f t="shared" si="19"/>
        <v>4.4249999999999998</v>
      </c>
      <c r="AB117" s="8">
        <f t="shared" si="27"/>
        <v>4.3833333333333337</v>
      </c>
      <c r="AC117" s="8">
        <f t="shared" si="21"/>
        <v>0</v>
      </c>
      <c r="AD117" s="10">
        <f t="shared" si="22"/>
        <v>40.380228136882124</v>
      </c>
      <c r="AE117" s="2">
        <f t="shared" si="23"/>
        <v>113.72</v>
      </c>
      <c r="AF117" s="9">
        <f t="shared" si="24"/>
        <v>1</v>
      </c>
      <c r="AG117" s="9">
        <f t="shared" si="25"/>
        <v>1</v>
      </c>
      <c r="AH117" s="70">
        <f t="shared" si="26"/>
        <v>1</v>
      </c>
      <c r="AI117"/>
    </row>
    <row r="118" spans="1:35" x14ac:dyDescent="0.25">
      <c r="A118" s="22">
        <v>17</v>
      </c>
      <c r="B118" s="24">
        <v>46132</v>
      </c>
      <c r="C118" s="1" t="s">
        <v>38</v>
      </c>
      <c r="D118" s="6"/>
      <c r="E118" s="4" t="s">
        <v>39</v>
      </c>
      <c r="F118" s="5" t="s">
        <v>42</v>
      </c>
      <c r="G118" s="22">
        <v>3275.8999999999996</v>
      </c>
      <c r="H118" s="22">
        <v>2498.7499999999995</v>
      </c>
      <c r="I118" s="22">
        <v>15</v>
      </c>
      <c r="J118" s="22"/>
      <c r="K118" s="22"/>
      <c r="L118" s="22"/>
      <c r="M118" s="22"/>
      <c r="N118" s="4" cm="1">
        <f t="array" ref="N118">_xlfn.IFS(E118="MOLINOS CHAMPION S.F",42,E118="PROPALCOL",42,E118="MASTERTEC",42,E118="GANADERIA OVIA",42,E118="ENGORDE",40,E118="DESCARTES",40,E118="REPRODUCTORA",10,E118="BAJO PESO",40,E118="CHICKENCORP",42)</f>
        <v>10</v>
      </c>
      <c r="O118" s="7">
        <f t="shared" si="14"/>
        <v>0.76276748374492498</v>
      </c>
      <c r="P118" s="22">
        <f t="shared" si="15"/>
        <v>218.39333333333332</v>
      </c>
      <c r="Q118" s="22">
        <f t="shared" si="16"/>
        <v>166.58333333333331</v>
      </c>
      <c r="R118" s="7">
        <f t="shared" si="17"/>
        <v>1</v>
      </c>
      <c r="S118" s="22">
        <v>30</v>
      </c>
      <c r="T118" s="23">
        <v>0.61805555555555558</v>
      </c>
      <c r="U118" s="23">
        <v>0.68472222222222223</v>
      </c>
      <c r="V118" s="12"/>
      <c r="W118" s="12"/>
      <c r="X118" s="2"/>
      <c r="Y118" s="2">
        <f t="shared" si="18"/>
        <v>0</v>
      </c>
      <c r="Z118" s="2"/>
      <c r="AA118" s="2">
        <f t="shared" si="19"/>
        <v>1.5</v>
      </c>
      <c r="AB118" s="8">
        <f t="shared" si="27"/>
        <v>1.6</v>
      </c>
      <c r="AC118" s="8">
        <f t="shared" si="21"/>
        <v>0.10000000000000009</v>
      </c>
      <c r="AD118" s="10">
        <f t="shared" si="22"/>
        <v>9.375</v>
      </c>
      <c r="AE118" s="2">
        <f t="shared" si="23"/>
        <v>52.06</v>
      </c>
      <c r="AF118" s="9">
        <f t="shared" si="24"/>
        <v>0.93333333333333324</v>
      </c>
      <c r="AG118" s="9">
        <f t="shared" si="25"/>
        <v>0.9375</v>
      </c>
      <c r="AH118" s="70">
        <f t="shared" si="26"/>
        <v>0.87499999999999989</v>
      </c>
      <c r="AI118"/>
    </row>
    <row r="119" spans="1:35" x14ac:dyDescent="0.25">
      <c r="A119" s="22">
        <v>17</v>
      </c>
      <c r="B119" s="24">
        <v>46133</v>
      </c>
      <c r="C119" s="1" t="s">
        <v>34</v>
      </c>
      <c r="D119" s="1">
        <v>5470</v>
      </c>
      <c r="E119" s="4" t="s">
        <v>35</v>
      </c>
      <c r="F119" s="5" t="s">
        <v>36</v>
      </c>
      <c r="G119" s="22">
        <v>7200.4499999999989</v>
      </c>
      <c r="H119" s="22">
        <v>5486.95</v>
      </c>
      <c r="I119" s="22">
        <v>60</v>
      </c>
      <c r="J119" s="22"/>
      <c r="K119" s="22"/>
      <c r="L119" s="22"/>
      <c r="M119" s="22"/>
      <c r="N119" s="4" cm="1">
        <f t="array" ref="N119">_xlfn.IFS(E119="MOLINOS CHAMPION S.F",42,E119="PROPALCOL",42,E119="MASTERTEC",42,E119="GANADERIA OVIA",42,E119="ENGORDE",40,E119="DESCARTES",40,E119="REPRODUCTORA",10,E119="BAJO PESO",40,E119="CHICKENCORP",42)</f>
        <v>42</v>
      </c>
      <c r="O119" s="7">
        <f t="shared" si="14"/>
        <v>0.76202876209125825</v>
      </c>
      <c r="P119" s="22">
        <f t="shared" si="15"/>
        <v>120.00749999999998</v>
      </c>
      <c r="Q119" s="22">
        <f t="shared" si="16"/>
        <v>91.44916666666667</v>
      </c>
      <c r="R119" s="7">
        <f t="shared" si="17"/>
        <v>1</v>
      </c>
      <c r="S119" s="22">
        <v>33</v>
      </c>
      <c r="T119" s="23">
        <v>0.52083333333333337</v>
      </c>
      <c r="U119" s="23">
        <v>0.59791666666666665</v>
      </c>
      <c r="V119" s="12"/>
      <c r="W119" s="12"/>
      <c r="X119" s="2"/>
      <c r="Y119" s="2">
        <f t="shared" si="18"/>
        <v>0</v>
      </c>
      <c r="Z119" s="2"/>
      <c r="AA119" s="2">
        <f t="shared" si="19"/>
        <v>1.4285714285714286</v>
      </c>
      <c r="AB119" s="8">
        <f t="shared" si="27"/>
        <v>1.85</v>
      </c>
      <c r="AC119" s="8">
        <f t="shared" si="21"/>
        <v>0.42142857142857149</v>
      </c>
      <c r="AD119" s="10">
        <f t="shared" si="22"/>
        <v>32.432432432432428</v>
      </c>
      <c r="AE119" s="2">
        <f t="shared" si="23"/>
        <v>89.88</v>
      </c>
      <c r="AF119" s="9">
        <f t="shared" si="24"/>
        <v>0.70499999999999996</v>
      </c>
      <c r="AG119" s="9">
        <f t="shared" si="25"/>
        <v>0.7722007722007721</v>
      </c>
      <c r="AH119" s="70">
        <f t="shared" si="26"/>
        <v>0.54440154440154431</v>
      </c>
      <c r="AI119"/>
    </row>
    <row r="120" spans="1:35" x14ac:dyDescent="0.25">
      <c r="A120" s="22">
        <v>17</v>
      </c>
      <c r="B120" s="24">
        <v>46133</v>
      </c>
      <c r="C120" s="1" t="s">
        <v>34</v>
      </c>
      <c r="D120" s="1">
        <v>274</v>
      </c>
      <c r="E120" s="4" t="s">
        <v>37</v>
      </c>
      <c r="F120" s="5" t="s">
        <v>36</v>
      </c>
      <c r="G120" s="22">
        <v>17676.899999999994</v>
      </c>
      <c r="H120" s="22">
        <v>13670.549999999996</v>
      </c>
      <c r="I120" s="22">
        <v>180</v>
      </c>
      <c r="J120" s="22"/>
      <c r="K120" s="22"/>
      <c r="L120" s="22"/>
      <c r="M120" s="22"/>
      <c r="N120" s="4" cm="1">
        <f t="array" ref="N120">_xlfn.IFS(E120="MOLINOS CHAMPION S.F",42,E120="PROPALCOL",42,E120="MASTERTEC",42,E120="GANADERIA OVIA",42,E120="ENGORDE",40,E120="DESCARTES",40,E120="REPRODUCTORA",10,E120="BAJO PESO",40,E120="CHICKENCORP",42)</f>
        <v>40</v>
      </c>
      <c r="O120" s="7">
        <f t="shared" si="14"/>
        <v>0.77335675372944357</v>
      </c>
      <c r="P120" s="22">
        <f t="shared" si="15"/>
        <v>98.20499999999997</v>
      </c>
      <c r="Q120" s="22">
        <f t="shared" si="16"/>
        <v>75.947499999999977</v>
      </c>
      <c r="R120" s="7">
        <f t="shared" si="17"/>
        <v>1</v>
      </c>
      <c r="S120" s="22">
        <v>33</v>
      </c>
      <c r="T120" s="23">
        <v>0.29166666666666669</v>
      </c>
      <c r="U120" s="23">
        <v>0.49305555555555558</v>
      </c>
      <c r="V120" s="12"/>
      <c r="W120" s="12"/>
      <c r="X120" s="2"/>
      <c r="Y120" s="2">
        <f t="shared" si="18"/>
        <v>0</v>
      </c>
      <c r="Z120" s="2">
        <v>1</v>
      </c>
      <c r="AA120" s="2">
        <f t="shared" si="19"/>
        <v>4.5</v>
      </c>
      <c r="AB120" s="8">
        <f t="shared" si="27"/>
        <v>3.833333333333333</v>
      </c>
      <c r="AC120" s="8">
        <f t="shared" si="21"/>
        <v>0</v>
      </c>
      <c r="AD120" s="10">
        <f t="shared" si="22"/>
        <v>46.956521739130437</v>
      </c>
      <c r="AE120" s="2">
        <f t="shared" si="23"/>
        <v>108.07</v>
      </c>
      <c r="AF120" s="9">
        <f t="shared" si="24"/>
        <v>1</v>
      </c>
      <c r="AG120" s="9">
        <f t="shared" si="25"/>
        <v>1</v>
      </c>
      <c r="AH120" s="70">
        <f t="shared" si="26"/>
        <v>1</v>
      </c>
      <c r="AI120"/>
    </row>
    <row r="121" spans="1:35" x14ac:dyDescent="0.25">
      <c r="A121" s="22">
        <v>17</v>
      </c>
      <c r="B121" s="24">
        <v>46133</v>
      </c>
      <c r="C121" s="25" t="s">
        <v>34</v>
      </c>
      <c r="D121" s="25">
        <v>274</v>
      </c>
      <c r="E121" s="26" t="s">
        <v>37</v>
      </c>
      <c r="F121" s="27" t="s">
        <v>36</v>
      </c>
      <c r="G121" s="22">
        <v>7157.0999999999995</v>
      </c>
      <c r="H121" s="22">
        <v>5815.1500000000005</v>
      </c>
      <c r="I121" s="22">
        <v>60</v>
      </c>
      <c r="J121" s="22"/>
      <c r="K121" s="22"/>
      <c r="L121" s="22"/>
      <c r="M121" s="22"/>
      <c r="N121" s="4" cm="1">
        <f t="array" ref="N121">_xlfn.IFS(E121="MOLINOS CHAMPION S.F",42,E121="PROPALCOL",42,E121="MASTERTEC",42,E121="GANADERIA OVIA",42,E121="ENGORDE",40,E121="DESCARTES",40,E121="REPRODUCTORA",10,E121="BAJO PESO",40,E121="CHICKENCORP",42)</f>
        <v>40</v>
      </c>
      <c r="O121" s="7">
        <f t="shared" si="14"/>
        <v>0.81250087325872222</v>
      </c>
      <c r="P121" s="22">
        <f t="shared" si="15"/>
        <v>119.285</v>
      </c>
      <c r="Q121" s="22">
        <f t="shared" si="16"/>
        <v>96.919166666666669</v>
      </c>
      <c r="R121" s="7">
        <f t="shared" si="17"/>
        <v>1</v>
      </c>
      <c r="S121" s="22">
        <v>33</v>
      </c>
      <c r="T121" s="23">
        <v>0.57638888888888884</v>
      </c>
      <c r="U121" s="23">
        <v>0.64583333333333337</v>
      </c>
      <c r="V121" s="12"/>
      <c r="W121" s="12"/>
      <c r="X121" s="2"/>
      <c r="Y121" s="2">
        <f t="shared" si="18"/>
        <v>0</v>
      </c>
      <c r="Z121" s="2"/>
      <c r="AA121" s="2">
        <f t="shared" si="19"/>
        <v>1.5</v>
      </c>
      <c r="AB121" s="8">
        <f t="shared" si="27"/>
        <v>1.6666666666666665</v>
      </c>
      <c r="AC121" s="8">
        <f t="shared" si="21"/>
        <v>0.16666666666666652</v>
      </c>
      <c r="AD121" s="10">
        <f t="shared" si="22"/>
        <v>36</v>
      </c>
      <c r="AE121" s="2">
        <f t="shared" si="23"/>
        <v>105.73</v>
      </c>
      <c r="AF121" s="9">
        <f t="shared" si="24"/>
        <v>0.88888888888888895</v>
      </c>
      <c r="AG121" s="9">
        <f t="shared" si="25"/>
        <v>0.9</v>
      </c>
      <c r="AH121" s="70">
        <f t="shared" si="26"/>
        <v>0.8</v>
      </c>
      <c r="AI121"/>
    </row>
    <row r="122" spans="1:35" x14ac:dyDescent="0.25">
      <c r="A122" s="22">
        <v>17</v>
      </c>
      <c r="B122" s="24">
        <v>46134</v>
      </c>
      <c r="C122" s="1" t="s">
        <v>34</v>
      </c>
      <c r="D122" s="1">
        <v>5470</v>
      </c>
      <c r="E122" s="4" t="s">
        <v>35</v>
      </c>
      <c r="F122" s="5" t="s">
        <v>36</v>
      </c>
      <c r="G122" s="22">
        <v>6217.2</v>
      </c>
      <c r="H122" s="22">
        <v>4673.1000000000013</v>
      </c>
      <c r="I122" s="22">
        <v>60</v>
      </c>
      <c r="J122" s="22"/>
      <c r="K122" s="22"/>
      <c r="L122" s="22"/>
      <c r="M122" s="22"/>
      <c r="N122" s="4" cm="1">
        <f t="array" ref="N122">_xlfn.IFS(E122="MOLINOS CHAMPION S.F",42,E122="PROPALCOL",42,E122="MASTERTEC",42,E122="GANADERIA OVIA",42,E122="ENGORDE",40,E122="DESCARTES",40,E122="REPRODUCTORA",10,E122="BAJO PESO",40,E122="CHICKENCORP",42)</f>
        <v>42</v>
      </c>
      <c r="O122" s="7">
        <f t="shared" si="14"/>
        <v>0.7516406099208649</v>
      </c>
      <c r="P122" s="22">
        <f t="shared" si="15"/>
        <v>103.61999999999999</v>
      </c>
      <c r="Q122" s="22">
        <f t="shared" si="16"/>
        <v>77.885000000000019</v>
      </c>
      <c r="R122" s="7">
        <f t="shared" si="17"/>
        <v>1</v>
      </c>
      <c r="S122" s="22">
        <v>33</v>
      </c>
      <c r="T122" s="23">
        <v>0.64930555555555558</v>
      </c>
      <c r="U122" s="23">
        <v>0.72222222222222221</v>
      </c>
      <c r="V122" s="12"/>
      <c r="W122" s="12"/>
      <c r="X122" s="2"/>
      <c r="Y122" s="2">
        <f t="shared" si="18"/>
        <v>0</v>
      </c>
      <c r="Z122" s="2"/>
      <c r="AA122" s="2">
        <f t="shared" si="19"/>
        <v>1.4285714285714286</v>
      </c>
      <c r="AB122" s="8">
        <f t="shared" si="27"/>
        <v>1.75</v>
      </c>
      <c r="AC122" s="8">
        <f t="shared" si="21"/>
        <v>0.3214285714285714</v>
      </c>
      <c r="AD122" s="10">
        <f t="shared" si="22"/>
        <v>34.285714285714285</v>
      </c>
      <c r="AE122" s="2">
        <f t="shared" si="23"/>
        <v>80.92</v>
      </c>
      <c r="AF122" s="9">
        <f t="shared" si="24"/>
        <v>0.77500000000000002</v>
      </c>
      <c r="AG122" s="9">
        <f t="shared" si="25"/>
        <v>0.81632653061224492</v>
      </c>
      <c r="AH122" s="70">
        <f t="shared" si="26"/>
        <v>0.63265306122448983</v>
      </c>
      <c r="AI122"/>
    </row>
    <row r="123" spans="1:35" x14ac:dyDescent="0.25">
      <c r="A123" s="22">
        <v>17</v>
      </c>
      <c r="B123" s="24">
        <v>46134</v>
      </c>
      <c r="C123" s="1" t="s">
        <v>34</v>
      </c>
      <c r="D123" s="1">
        <v>274</v>
      </c>
      <c r="E123" s="4" t="s">
        <v>37</v>
      </c>
      <c r="F123" s="5" t="s">
        <v>36</v>
      </c>
      <c r="G123" s="22">
        <v>11547.75</v>
      </c>
      <c r="H123" s="22">
        <v>9346.2499999999964</v>
      </c>
      <c r="I123" s="22">
        <v>120</v>
      </c>
      <c r="J123" s="22"/>
      <c r="K123" s="22"/>
      <c r="L123" s="22"/>
      <c r="M123" s="22"/>
      <c r="N123" s="4" cm="1">
        <f t="array" ref="N123">_xlfn.IFS(E123="MOLINOS CHAMPION S.F",42,E123="PROPALCOL",42,E123="MASTERTEC",42,E123="GANADERIA OVIA",42,E123="ENGORDE",40,E123="DESCARTES",40,E123="REPRODUCTORA",10,E123="BAJO PESO",40,E123="CHICKENCORP",42)</f>
        <v>40</v>
      </c>
      <c r="O123" s="7">
        <f t="shared" si="14"/>
        <v>0.80935680110844077</v>
      </c>
      <c r="P123" s="22">
        <f t="shared" si="15"/>
        <v>96.231250000000003</v>
      </c>
      <c r="Q123" s="22">
        <f t="shared" si="16"/>
        <v>77.885416666666643</v>
      </c>
      <c r="R123" s="7">
        <f t="shared" si="17"/>
        <v>1</v>
      </c>
      <c r="S123" s="22">
        <v>34</v>
      </c>
      <c r="T123" s="23">
        <v>0.5625</v>
      </c>
      <c r="U123" s="23">
        <v>0.66666666666666663</v>
      </c>
      <c r="V123" s="12"/>
      <c r="W123" s="12"/>
      <c r="X123" s="2"/>
      <c r="Y123" s="2">
        <f t="shared" si="18"/>
        <v>0</v>
      </c>
      <c r="Z123" s="2">
        <v>1</v>
      </c>
      <c r="AA123" s="2">
        <f t="shared" si="19"/>
        <v>3</v>
      </c>
      <c r="AB123" s="8">
        <f t="shared" si="27"/>
        <v>1.5</v>
      </c>
      <c r="AC123" s="8">
        <f t="shared" si="21"/>
        <v>0</v>
      </c>
      <c r="AD123" s="10">
        <f t="shared" si="22"/>
        <v>80</v>
      </c>
      <c r="AE123" s="2">
        <f t="shared" si="23"/>
        <v>183.26</v>
      </c>
      <c r="AF123" s="9">
        <f t="shared" si="24"/>
        <v>1</v>
      </c>
      <c r="AG123" s="9">
        <f t="shared" si="25"/>
        <v>1</v>
      </c>
      <c r="AH123" s="70">
        <f t="shared" si="26"/>
        <v>1</v>
      </c>
      <c r="AI123"/>
    </row>
    <row r="124" spans="1:35" x14ac:dyDescent="0.25">
      <c r="A124" s="22">
        <v>17</v>
      </c>
      <c r="B124" s="24">
        <v>46135</v>
      </c>
      <c r="C124" s="1" t="s">
        <v>34</v>
      </c>
      <c r="D124" s="1">
        <v>274</v>
      </c>
      <c r="E124" s="4" t="s">
        <v>37</v>
      </c>
      <c r="F124" s="5" t="s">
        <v>36</v>
      </c>
      <c r="G124" s="22">
        <v>32168.2</v>
      </c>
      <c r="H124" s="22">
        <v>25685.299999999985</v>
      </c>
      <c r="I124" s="22">
        <v>300</v>
      </c>
      <c r="J124" s="22"/>
      <c r="K124" s="22"/>
      <c r="L124" s="22"/>
      <c r="M124" s="22"/>
      <c r="N124" s="4" cm="1">
        <f t="array" ref="N124">_xlfn.IFS(E124="MOLINOS CHAMPION S.F",42,E124="PROPALCOL",42,E124="MASTERTEC",42,E124="GANADERIA OVIA",42,E124="ENGORDE",40,E124="DESCARTES",40,E124="REPRODUCTORA",10,E124="BAJO PESO",40,E124="CHICKENCORP",42)</f>
        <v>40</v>
      </c>
      <c r="O124" s="7">
        <f t="shared" si="14"/>
        <v>0.79846867403211819</v>
      </c>
      <c r="P124" s="22">
        <f t="shared" si="15"/>
        <v>107.22733333333333</v>
      </c>
      <c r="Q124" s="22">
        <f t="shared" si="16"/>
        <v>85.617666666666622</v>
      </c>
      <c r="R124" s="7">
        <f t="shared" si="17"/>
        <v>1</v>
      </c>
      <c r="S124" s="22">
        <v>34</v>
      </c>
      <c r="T124" s="23">
        <v>0.25</v>
      </c>
      <c r="U124" s="23">
        <v>0.62152777777777779</v>
      </c>
      <c r="V124" s="12"/>
      <c r="W124" s="12"/>
      <c r="X124" s="2"/>
      <c r="Y124" s="2">
        <f t="shared" si="18"/>
        <v>0</v>
      </c>
      <c r="Z124" s="2">
        <v>1</v>
      </c>
      <c r="AA124" s="2">
        <f t="shared" si="19"/>
        <v>7.5</v>
      </c>
      <c r="AB124" s="8">
        <f t="shared" si="27"/>
        <v>7.9166666666666661</v>
      </c>
      <c r="AC124" s="8">
        <f t="shared" si="21"/>
        <v>0.41666666666666607</v>
      </c>
      <c r="AD124" s="10">
        <f t="shared" si="22"/>
        <v>37.894736842105267</v>
      </c>
      <c r="AE124" s="2">
        <f t="shared" si="23"/>
        <v>95.43</v>
      </c>
      <c r="AF124" s="9">
        <f t="shared" si="24"/>
        <v>0.94444444444444453</v>
      </c>
      <c r="AG124" s="9">
        <f t="shared" si="25"/>
        <v>0.94736842105263164</v>
      </c>
      <c r="AH124" s="70">
        <f t="shared" si="26"/>
        <v>0.89473684210526327</v>
      </c>
      <c r="AI124"/>
    </row>
    <row r="125" spans="1:35" x14ac:dyDescent="0.25">
      <c r="A125" s="22">
        <v>17</v>
      </c>
      <c r="B125" s="24">
        <v>46136</v>
      </c>
      <c r="C125" s="1" t="s">
        <v>34</v>
      </c>
      <c r="D125" s="1">
        <v>274</v>
      </c>
      <c r="E125" s="4" t="s">
        <v>37</v>
      </c>
      <c r="F125" s="5" t="s">
        <v>36</v>
      </c>
      <c r="G125" s="22">
        <v>13638.300000000001</v>
      </c>
      <c r="H125" s="22">
        <v>10851.6</v>
      </c>
      <c r="I125" s="22">
        <v>115</v>
      </c>
      <c r="J125" s="22"/>
      <c r="K125" s="22"/>
      <c r="L125" s="22"/>
      <c r="M125" s="22"/>
      <c r="N125" s="4" cm="1">
        <f t="array" ref="N125">_xlfn.IFS(E125="MOLINOS CHAMPION S.F",42,E125="PROPALCOL",42,E125="MASTERTEC",42,E125="GANADERIA OVIA",42,E125="ENGORDE",40,E125="DESCARTES",40,E125="REPRODUCTORA",10,E125="BAJO PESO",40,E125="CHICKENCORP",42)</f>
        <v>40</v>
      </c>
      <c r="O125" s="7">
        <f t="shared" si="14"/>
        <v>0.79567101471591029</v>
      </c>
      <c r="P125" s="22">
        <f t="shared" si="15"/>
        <v>118.59391304347827</v>
      </c>
      <c r="Q125" s="22">
        <f t="shared" si="16"/>
        <v>94.361739130434785</v>
      </c>
      <c r="R125" s="7">
        <f t="shared" si="17"/>
        <v>1</v>
      </c>
      <c r="S125" s="22">
        <v>32</v>
      </c>
      <c r="T125" s="23">
        <v>0.25</v>
      </c>
      <c r="U125" s="23">
        <v>0.37847222222222221</v>
      </c>
      <c r="V125" s="12"/>
      <c r="W125" s="12"/>
      <c r="X125" s="2"/>
      <c r="Y125" s="2">
        <f t="shared" si="18"/>
        <v>0</v>
      </c>
      <c r="Z125" s="2">
        <v>1</v>
      </c>
      <c r="AA125" s="2">
        <f t="shared" si="19"/>
        <v>2.875</v>
      </c>
      <c r="AB125" s="8">
        <f t="shared" si="27"/>
        <v>2.0833333333333335</v>
      </c>
      <c r="AC125" s="8">
        <f t="shared" si="21"/>
        <v>0</v>
      </c>
      <c r="AD125" s="10">
        <f t="shared" si="22"/>
        <v>55.199999999999996</v>
      </c>
      <c r="AE125" s="2">
        <f t="shared" si="23"/>
        <v>162.77000000000001</v>
      </c>
      <c r="AF125" s="9">
        <f t="shared" si="24"/>
        <v>1</v>
      </c>
      <c r="AG125" s="9">
        <f t="shared" si="25"/>
        <v>1</v>
      </c>
      <c r="AH125" s="70">
        <f t="shared" si="26"/>
        <v>1</v>
      </c>
      <c r="AI125"/>
    </row>
    <row r="126" spans="1:35" x14ac:dyDescent="0.25">
      <c r="A126" s="22">
        <v>17</v>
      </c>
      <c r="B126" s="24">
        <v>46138</v>
      </c>
      <c r="C126" s="1" t="s">
        <v>34</v>
      </c>
      <c r="D126" s="1">
        <v>274</v>
      </c>
      <c r="E126" s="4" t="s">
        <v>37</v>
      </c>
      <c r="F126" s="5" t="s">
        <v>36</v>
      </c>
      <c r="G126" s="22">
        <v>29393.445</v>
      </c>
      <c r="H126" s="22">
        <v>23638.89999999998</v>
      </c>
      <c r="I126" s="22">
        <v>285</v>
      </c>
      <c r="J126" s="22">
        <v>15</v>
      </c>
      <c r="K126" s="22" t="s">
        <v>50</v>
      </c>
      <c r="L126" s="22"/>
      <c r="M126" s="22"/>
      <c r="N126" s="4" cm="1">
        <f t="array" ref="N126">_xlfn.IFS(E126="MOLINOS CHAMPION S.F",42,E126="PROPALCOL",42,E126="MASTERTEC",42,E126="GANADERIA OVIA",42,E126="ENGORDE",40,E126="DESCARTES",40,E126="REPRODUCTORA",10,E126="BAJO PESO",40,E126="CHICKENCORP",42)</f>
        <v>40</v>
      </c>
      <c r="O126" s="7">
        <f t="shared" si="14"/>
        <v>0.80422352670807995</v>
      </c>
      <c r="P126" s="22">
        <f t="shared" si="15"/>
        <v>103.1348947368421</v>
      </c>
      <c r="Q126" s="22">
        <f t="shared" si="16"/>
        <v>82.943508771929757</v>
      </c>
      <c r="R126" s="7">
        <f t="shared" si="17"/>
        <v>0.94736842105263153</v>
      </c>
      <c r="S126" s="22">
        <v>34</v>
      </c>
      <c r="T126" s="23">
        <v>0.29166666666666669</v>
      </c>
      <c r="U126" s="23">
        <v>0.61458333333333337</v>
      </c>
      <c r="V126" s="12"/>
      <c r="W126" s="12"/>
      <c r="X126" s="2"/>
      <c r="Y126" s="2">
        <f t="shared" si="18"/>
        <v>0</v>
      </c>
      <c r="Z126" s="2">
        <v>1</v>
      </c>
      <c r="AA126" s="2">
        <f t="shared" si="19"/>
        <v>7.125</v>
      </c>
      <c r="AB126" s="8">
        <f t="shared" si="27"/>
        <v>6.75</v>
      </c>
      <c r="AC126" s="8">
        <f t="shared" si="21"/>
        <v>0</v>
      </c>
      <c r="AD126" s="10">
        <f t="shared" si="22"/>
        <v>42.222222222222221</v>
      </c>
      <c r="AE126" s="2">
        <f t="shared" si="23"/>
        <v>103</v>
      </c>
      <c r="AF126" s="9">
        <f t="shared" si="24"/>
        <v>1</v>
      </c>
      <c r="AG126" s="9">
        <f t="shared" si="25"/>
        <v>1</v>
      </c>
      <c r="AH126" s="70">
        <f t="shared" si="26"/>
        <v>0.94736842105263153</v>
      </c>
      <c r="AI126"/>
    </row>
    <row r="127" spans="1:35" x14ac:dyDescent="0.25">
      <c r="A127" s="22">
        <v>18</v>
      </c>
      <c r="B127" s="24">
        <v>46139</v>
      </c>
      <c r="C127" s="1" t="s">
        <v>34</v>
      </c>
      <c r="D127" s="1">
        <v>5470</v>
      </c>
      <c r="E127" s="4" t="s">
        <v>35</v>
      </c>
      <c r="F127" s="5" t="s">
        <v>36</v>
      </c>
      <c r="G127" s="22">
        <v>5986.3499999999985</v>
      </c>
      <c r="H127" s="22">
        <v>4559.95</v>
      </c>
      <c r="I127" s="22">
        <v>60</v>
      </c>
      <c r="J127" s="22"/>
      <c r="K127" s="22"/>
      <c r="L127" s="22"/>
      <c r="M127" s="22"/>
      <c r="N127" s="4" cm="1">
        <f t="array" ref="N127">_xlfn.IFS(E127="MOLINOS CHAMPION S.F",42,E127="PROPALCOL",42,E127="MASTERTEC",42,E127="GANADERIA OVIA",42,E127="ENGORDE",40,E127="DESCARTES",40,E127="REPRODUCTORA",10,E127="BAJO PESO",40,E127="CHICKENCORP",42)</f>
        <v>42</v>
      </c>
      <c r="O127" s="7">
        <f t="shared" si="14"/>
        <v>0.76172459010916516</v>
      </c>
      <c r="P127" s="22">
        <f t="shared" si="15"/>
        <v>99.77249999999998</v>
      </c>
      <c r="Q127" s="22">
        <f t="shared" si="16"/>
        <v>75.999166666666667</v>
      </c>
      <c r="R127" s="7">
        <f t="shared" si="17"/>
        <v>1</v>
      </c>
      <c r="S127" s="22">
        <v>31</v>
      </c>
      <c r="T127" s="23">
        <v>0.61458333333333337</v>
      </c>
      <c r="U127" s="23">
        <v>0.71597222222222223</v>
      </c>
      <c r="V127" s="12"/>
      <c r="W127" s="12"/>
      <c r="X127" s="2"/>
      <c r="Y127" s="2">
        <f t="shared" si="18"/>
        <v>0</v>
      </c>
      <c r="Z127" s="2"/>
      <c r="AA127" s="2">
        <f t="shared" si="19"/>
        <v>1.4285714285714286</v>
      </c>
      <c r="AB127" s="8">
        <f t="shared" si="27"/>
        <v>2.4333333333333336</v>
      </c>
      <c r="AC127" s="8">
        <f t="shared" si="21"/>
        <v>1.004761904761905</v>
      </c>
      <c r="AD127" s="10">
        <f t="shared" si="22"/>
        <v>24.657534246575342</v>
      </c>
      <c r="AE127" s="2">
        <f t="shared" si="23"/>
        <v>60.45</v>
      </c>
      <c r="AF127" s="9">
        <f t="shared" si="24"/>
        <v>0.29666666666666652</v>
      </c>
      <c r="AG127" s="9">
        <f t="shared" si="25"/>
        <v>0.58708414872798431</v>
      </c>
      <c r="AH127" s="70">
        <f t="shared" si="26"/>
        <v>0.1741682974559686</v>
      </c>
      <c r="AI127"/>
    </row>
    <row r="128" spans="1:35" x14ac:dyDescent="0.25">
      <c r="A128" s="22">
        <v>18</v>
      </c>
      <c r="B128" s="24">
        <v>46139</v>
      </c>
      <c r="C128" s="1" t="s">
        <v>34</v>
      </c>
      <c r="D128" s="1">
        <v>274</v>
      </c>
      <c r="E128" s="4" t="s">
        <v>37</v>
      </c>
      <c r="F128" s="5" t="s">
        <v>36</v>
      </c>
      <c r="G128" s="22">
        <v>24956.1</v>
      </c>
      <c r="H128" s="22">
        <v>19903.899999999998</v>
      </c>
      <c r="I128" s="22">
        <v>244</v>
      </c>
      <c r="J128" s="22">
        <v>15</v>
      </c>
      <c r="K128" s="22" t="s">
        <v>44</v>
      </c>
      <c r="L128" s="22"/>
      <c r="M128" s="22"/>
      <c r="N128" s="4" cm="1">
        <f t="array" ref="N128">_xlfn.IFS(E128="MOLINOS CHAMPION S.F",42,E128="PROPALCOL",42,E128="MASTERTEC",42,E128="GANADERIA OVIA",42,E128="ENGORDE",40,E128="DESCARTES",40,E128="REPRODUCTORA",10,E128="BAJO PESO",40,E128="CHICKENCORP",42)</f>
        <v>40</v>
      </c>
      <c r="O128" s="7">
        <f t="shared" si="14"/>
        <v>0.79755650923020815</v>
      </c>
      <c r="P128" s="22">
        <f t="shared" si="15"/>
        <v>102.27909836065574</v>
      </c>
      <c r="Q128" s="22">
        <f t="shared" si="16"/>
        <v>81.573360655737702</v>
      </c>
      <c r="R128" s="7">
        <f t="shared" si="17"/>
        <v>0.93852459016393441</v>
      </c>
      <c r="S128" s="22">
        <v>30</v>
      </c>
      <c r="T128" s="23">
        <v>0.33333333333333331</v>
      </c>
      <c r="U128" s="23">
        <v>0.62708333333333333</v>
      </c>
      <c r="V128" s="12"/>
      <c r="W128" s="12"/>
      <c r="X128" s="2"/>
      <c r="Y128" s="2">
        <f t="shared" si="18"/>
        <v>0</v>
      </c>
      <c r="Z128" s="2">
        <v>1</v>
      </c>
      <c r="AA128" s="2">
        <f t="shared" si="19"/>
        <v>6.1</v>
      </c>
      <c r="AB128" s="8">
        <f t="shared" si="27"/>
        <v>6.05</v>
      </c>
      <c r="AC128" s="8">
        <f t="shared" si="21"/>
        <v>0</v>
      </c>
      <c r="AD128" s="10">
        <f t="shared" si="22"/>
        <v>40.330578512396698</v>
      </c>
      <c r="AE128" s="2">
        <f t="shared" si="23"/>
        <v>109.66</v>
      </c>
      <c r="AF128" s="9">
        <f t="shared" si="24"/>
        <v>1</v>
      </c>
      <c r="AG128" s="9">
        <f t="shared" si="25"/>
        <v>1</v>
      </c>
      <c r="AH128" s="70">
        <f t="shared" si="26"/>
        <v>0.93852459016393441</v>
      </c>
      <c r="AI128"/>
    </row>
    <row r="129" spans="1:35" x14ac:dyDescent="0.25">
      <c r="A129" s="22">
        <v>18</v>
      </c>
      <c r="B129" s="24">
        <v>46139</v>
      </c>
      <c r="C129" s="1" t="s">
        <v>38</v>
      </c>
      <c r="D129" s="6"/>
      <c r="E129" s="4" t="s">
        <v>39</v>
      </c>
      <c r="F129" s="5" t="s">
        <v>42</v>
      </c>
      <c r="G129" s="22">
        <v>2760.3999999999996</v>
      </c>
      <c r="H129" s="22">
        <v>2131.4499999999998</v>
      </c>
      <c r="I129" s="22">
        <v>13</v>
      </c>
      <c r="J129" s="22"/>
      <c r="K129" s="22"/>
      <c r="L129" s="22"/>
      <c r="M129" s="22"/>
      <c r="N129" s="4" cm="1">
        <f t="array" ref="N129">_xlfn.IFS(E129="MOLINOS CHAMPION S.F",42,E129="PROPALCOL",42,E129="MASTERTEC",42,E129="GANADERIA OVIA",42,E129="ENGORDE",40,E129="DESCARTES",40,E129="REPRODUCTORA",10,E129="BAJO PESO",40,E129="CHICKENCORP",42)</f>
        <v>10</v>
      </c>
      <c r="O129" s="7">
        <f t="shared" si="14"/>
        <v>0.77215258658165487</v>
      </c>
      <c r="P129" s="22">
        <f t="shared" si="15"/>
        <v>212.3384615384615</v>
      </c>
      <c r="Q129" s="22">
        <f t="shared" si="16"/>
        <v>163.9576923076923</v>
      </c>
      <c r="R129" s="7">
        <f t="shared" si="17"/>
        <v>1</v>
      </c>
      <c r="S129" s="22">
        <v>30</v>
      </c>
      <c r="T129" s="23">
        <v>0.69791666666666663</v>
      </c>
      <c r="U129" s="23">
        <v>0.77638888888888891</v>
      </c>
      <c r="V129" s="12"/>
      <c r="W129" s="12"/>
      <c r="X129" s="2"/>
      <c r="Y129" s="2">
        <f t="shared" si="18"/>
        <v>0</v>
      </c>
      <c r="Z129" s="2"/>
      <c r="AA129" s="2">
        <f t="shared" si="19"/>
        <v>1.3</v>
      </c>
      <c r="AB129" s="8">
        <f t="shared" si="27"/>
        <v>1.8833333333333333</v>
      </c>
      <c r="AC129" s="8">
        <f t="shared" si="21"/>
        <v>0.58333333333333326</v>
      </c>
      <c r="AD129" s="10">
        <f t="shared" si="22"/>
        <v>6.9026548672566372</v>
      </c>
      <c r="AE129" s="2">
        <f t="shared" si="23"/>
        <v>37.72</v>
      </c>
      <c r="AF129" s="9">
        <f t="shared" si="24"/>
        <v>0.55128205128205132</v>
      </c>
      <c r="AG129" s="9">
        <f t="shared" si="25"/>
        <v>0.69026548672566368</v>
      </c>
      <c r="AH129" s="70">
        <f t="shared" si="26"/>
        <v>0.38053097345132741</v>
      </c>
      <c r="AI129"/>
    </row>
    <row r="130" spans="1:35" x14ac:dyDescent="0.25">
      <c r="A130" s="22">
        <v>18</v>
      </c>
      <c r="B130" s="24">
        <v>46140</v>
      </c>
      <c r="C130" s="1" t="s">
        <v>34</v>
      </c>
      <c r="D130" s="1">
        <v>5470</v>
      </c>
      <c r="E130" s="4" t="s">
        <v>35</v>
      </c>
      <c r="F130" s="5" t="s">
        <v>36</v>
      </c>
      <c r="G130" s="22">
        <v>7240.5500000000029</v>
      </c>
      <c r="H130" s="22">
        <v>5572.0999999999995</v>
      </c>
      <c r="I130" s="22">
        <v>60</v>
      </c>
      <c r="J130" s="22"/>
      <c r="K130" s="22"/>
      <c r="L130" s="22"/>
      <c r="M130" s="22"/>
      <c r="N130" s="4" cm="1">
        <f t="array" ref="N130">_xlfn.IFS(E130="MOLINOS CHAMPION S.F",42,E130="PROPALCOL",42,E130="MASTERTEC",42,E130="GANADERIA OVIA",42,E130="ENGORDE",40,E130="DESCARTES",40,E130="REPRODUCTORA",10,E130="BAJO PESO",40,E130="CHICKENCORP",42)</f>
        <v>42</v>
      </c>
      <c r="O130" s="7">
        <f t="shared" ref="O130:O193" si="28">IFERROR(H130/G130," ")</f>
        <v>0.76956861011939659</v>
      </c>
      <c r="P130" s="22">
        <f t="shared" ref="P130:P193" si="29">IFERROR(G130/I130," ")</f>
        <v>120.67583333333339</v>
      </c>
      <c r="Q130" s="22">
        <f t="shared" ref="Q130:Q193" si="30">IFERROR(H130/I130," ")</f>
        <v>92.868333333333325</v>
      </c>
      <c r="R130" s="7">
        <f t="shared" ref="R130:R193" si="31">IF(I130=0,0,(I130-J130)/I130)</f>
        <v>1</v>
      </c>
      <c r="S130" s="22">
        <v>32</v>
      </c>
      <c r="T130" s="23">
        <v>0.59027777777777779</v>
      </c>
      <c r="U130" s="23">
        <v>0.65694444444444444</v>
      </c>
      <c r="V130" s="12"/>
      <c r="W130" s="12"/>
      <c r="X130" s="2"/>
      <c r="Y130" s="2">
        <f t="shared" ref="Y130:Y193" si="32">(HOUR(W130-V130)+MINUTE(W130-V130)/60)</f>
        <v>0</v>
      </c>
      <c r="Z130" s="2"/>
      <c r="AA130" s="2">
        <f t="shared" ref="AA130:AA193" si="33">I130/N130</f>
        <v>1.4285714285714286</v>
      </c>
      <c r="AB130" s="8">
        <f t="shared" ref="AB130:AB161" si="34">(HOUR(U130-T130)+MINUTE(U130-T130)/60)-Z130-Y130</f>
        <v>1.6</v>
      </c>
      <c r="AC130" s="8">
        <f t="shared" ref="AC130:AC182" si="35">IF(AB130&gt;AA130,AB130-AA130,0)</f>
        <v>0.17142857142857149</v>
      </c>
      <c r="AD130" s="10">
        <f t="shared" ref="AD130:AD193" si="36">I130/AB130</f>
        <v>37.5</v>
      </c>
      <c r="AE130" s="2">
        <f t="shared" ref="AE130:AE193" si="37">ROUND(H130/AB130/S130,2)</f>
        <v>108.83</v>
      </c>
      <c r="AF130" s="9">
        <f t="shared" ref="AF130:AF188" si="38">IF(AA130-AC130&lt;0,0,(AA130-AC130)/AA130)</f>
        <v>0.88</v>
      </c>
      <c r="AG130" s="9">
        <f t="shared" ref="AG130:AG193" si="39">IFERROR(MIN(AD130/N130,1),0)</f>
        <v>0.8928571428571429</v>
      </c>
      <c r="AH130" s="70">
        <f t="shared" ref="AH130:AH193" si="40">R130*AF130*AG130</f>
        <v>0.78571428571428581</v>
      </c>
      <c r="AI130"/>
    </row>
    <row r="131" spans="1:35" x14ac:dyDescent="0.25">
      <c r="A131" s="22">
        <v>18</v>
      </c>
      <c r="B131" s="24">
        <v>46140</v>
      </c>
      <c r="C131" s="1" t="s">
        <v>34</v>
      </c>
      <c r="D131" s="1">
        <v>274</v>
      </c>
      <c r="E131" s="4" t="s">
        <v>37</v>
      </c>
      <c r="F131" s="5" t="s">
        <v>36</v>
      </c>
      <c r="G131" s="22">
        <v>22628.999999999996</v>
      </c>
      <c r="H131" s="22">
        <v>17954.94999999999</v>
      </c>
      <c r="I131" s="22">
        <v>230</v>
      </c>
      <c r="J131" s="22">
        <v>100</v>
      </c>
      <c r="K131" s="22" t="s">
        <v>45</v>
      </c>
      <c r="L131" s="22"/>
      <c r="M131" s="22"/>
      <c r="N131" s="4" cm="1">
        <f t="array" ref="N131">_xlfn.IFS(E131="MOLINOS CHAMPION S.F",42,E131="PROPALCOL",42,E131="MASTERTEC",42,E131="GANADERIA OVIA",42,E131="ENGORDE",40,E131="DESCARTES",40,E131="REPRODUCTORA",10,E131="BAJO PESO",40,E131="CHICKENCORP",42)</f>
        <v>40</v>
      </c>
      <c r="O131" s="7">
        <f t="shared" si="28"/>
        <v>0.79344867205797842</v>
      </c>
      <c r="P131" s="22">
        <f t="shared" si="29"/>
        <v>98.386956521739108</v>
      </c>
      <c r="Q131" s="22">
        <f t="shared" si="30"/>
        <v>78.064999999999955</v>
      </c>
      <c r="R131" s="7">
        <f t="shared" si="31"/>
        <v>0.56521739130434778</v>
      </c>
      <c r="S131" s="22">
        <v>32</v>
      </c>
      <c r="T131" s="23">
        <v>0.29166666666666669</v>
      </c>
      <c r="U131" s="23">
        <v>0.60416666666666663</v>
      </c>
      <c r="V131" s="12"/>
      <c r="W131" s="12"/>
      <c r="X131" s="2"/>
      <c r="Y131" s="2">
        <f t="shared" si="32"/>
        <v>0</v>
      </c>
      <c r="Z131" s="2">
        <v>1</v>
      </c>
      <c r="AA131" s="2">
        <f t="shared" si="33"/>
        <v>5.75</v>
      </c>
      <c r="AB131" s="8">
        <f t="shared" si="34"/>
        <v>6.5</v>
      </c>
      <c r="AC131" s="8">
        <f t="shared" si="35"/>
        <v>0.75</v>
      </c>
      <c r="AD131" s="10">
        <f t="shared" si="36"/>
        <v>35.384615384615387</v>
      </c>
      <c r="AE131" s="2">
        <f t="shared" si="37"/>
        <v>86.32</v>
      </c>
      <c r="AF131" s="9">
        <f t="shared" si="38"/>
        <v>0.86956521739130432</v>
      </c>
      <c r="AG131" s="9">
        <f t="shared" si="39"/>
        <v>0.88461538461538469</v>
      </c>
      <c r="AH131" s="70">
        <f t="shared" si="40"/>
        <v>0.43478260869565216</v>
      </c>
      <c r="AI131"/>
    </row>
    <row r="132" spans="1:35" x14ac:dyDescent="0.25">
      <c r="A132" s="22">
        <v>18</v>
      </c>
      <c r="B132" s="24">
        <v>46141</v>
      </c>
      <c r="C132" s="1" t="s">
        <v>34</v>
      </c>
      <c r="D132" s="1">
        <v>5470</v>
      </c>
      <c r="E132" s="4" t="s">
        <v>35</v>
      </c>
      <c r="F132" s="5" t="s">
        <v>36</v>
      </c>
      <c r="G132" s="22">
        <v>6478.55</v>
      </c>
      <c r="H132" s="22">
        <v>5017.2</v>
      </c>
      <c r="I132" s="22">
        <v>60</v>
      </c>
      <c r="J132" s="22"/>
      <c r="K132" s="22"/>
      <c r="L132" s="22"/>
      <c r="M132" s="22"/>
      <c r="N132" s="4" cm="1">
        <f t="array" ref="N132">_xlfn.IFS(E132="MOLINOS CHAMPION S.F",42,E132="PROPALCOL",42,E132="MASTERTEC",42,E132="GANADERIA OVIA",42,E132="ENGORDE",40,E132="DESCARTES",40,E132="REPRODUCTORA",10,E132="BAJO PESO",40,E132="CHICKENCORP",42)</f>
        <v>42</v>
      </c>
      <c r="O132" s="7">
        <f t="shared" si="28"/>
        <v>0.77443255049355175</v>
      </c>
      <c r="P132" s="22">
        <f t="shared" si="29"/>
        <v>107.97583333333334</v>
      </c>
      <c r="Q132" s="22">
        <f t="shared" si="30"/>
        <v>83.61999999999999</v>
      </c>
      <c r="R132" s="7">
        <f t="shared" si="31"/>
        <v>1</v>
      </c>
      <c r="S132" s="22">
        <v>34</v>
      </c>
      <c r="T132" s="23">
        <v>0.46527777777777779</v>
      </c>
      <c r="U132" s="23">
        <v>0.5</v>
      </c>
      <c r="V132" s="12"/>
      <c r="W132" s="12"/>
      <c r="X132" s="2"/>
      <c r="Y132" s="2">
        <f t="shared" si="32"/>
        <v>0</v>
      </c>
      <c r="Z132" s="2"/>
      <c r="AA132" s="2">
        <f t="shared" si="33"/>
        <v>1.4285714285714286</v>
      </c>
      <c r="AB132" s="8">
        <f t="shared" si="34"/>
        <v>0.83333333333333337</v>
      </c>
      <c r="AC132" s="8">
        <f t="shared" si="35"/>
        <v>0</v>
      </c>
      <c r="AD132" s="10">
        <f t="shared" si="36"/>
        <v>72</v>
      </c>
      <c r="AE132" s="2">
        <f t="shared" si="37"/>
        <v>177.08</v>
      </c>
      <c r="AF132" s="9">
        <f t="shared" si="38"/>
        <v>1</v>
      </c>
      <c r="AG132" s="9">
        <f t="shared" si="39"/>
        <v>1</v>
      </c>
      <c r="AH132" s="70">
        <f t="shared" si="40"/>
        <v>1</v>
      </c>
      <c r="AI132"/>
    </row>
    <row r="133" spans="1:35" x14ac:dyDescent="0.25">
      <c r="A133" s="22">
        <v>18</v>
      </c>
      <c r="B133" s="24">
        <v>46141</v>
      </c>
      <c r="C133" s="1" t="s">
        <v>34</v>
      </c>
      <c r="D133" s="1">
        <v>274</v>
      </c>
      <c r="E133" s="4" t="s">
        <v>37</v>
      </c>
      <c r="F133" s="5" t="s">
        <v>36</v>
      </c>
      <c r="G133" s="22">
        <v>17123.400000000001</v>
      </c>
      <c r="H133" s="22">
        <v>13712.3</v>
      </c>
      <c r="I133" s="22">
        <v>160</v>
      </c>
      <c r="J133" s="22">
        <v>15</v>
      </c>
      <c r="K133" s="22" t="s">
        <v>45</v>
      </c>
      <c r="L133" s="22"/>
      <c r="M133" s="22"/>
      <c r="N133" s="4" cm="1">
        <f t="array" ref="N133">_xlfn.IFS(E133="MOLINOS CHAMPION S.F",42,E133="PROPALCOL",42,E133="MASTERTEC",42,E133="GANADERIA OVIA",42,E133="ENGORDE",40,E133="DESCARTES",40,E133="REPRODUCTORA",10,E133="BAJO PESO",40,E133="CHICKENCORP",42)</f>
        <v>40</v>
      </c>
      <c r="O133" s="7">
        <f t="shared" si="28"/>
        <v>0.80079306679748175</v>
      </c>
      <c r="P133" s="22">
        <f t="shared" si="29"/>
        <v>107.02125000000001</v>
      </c>
      <c r="Q133" s="22">
        <f t="shared" si="30"/>
        <v>85.701875000000001</v>
      </c>
      <c r="R133" s="7">
        <f t="shared" si="31"/>
        <v>0.90625</v>
      </c>
      <c r="S133" s="22">
        <v>34</v>
      </c>
      <c r="T133" s="23">
        <v>0.25</v>
      </c>
      <c r="U133" s="23">
        <v>0.42777777777777776</v>
      </c>
      <c r="V133" s="12"/>
      <c r="W133" s="12"/>
      <c r="X133" s="2"/>
      <c r="Y133" s="2">
        <f t="shared" si="32"/>
        <v>0</v>
      </c>
      <c r="Z133" s="2">
        <v>1</v>
      </c>
      <c r="AA133" s="2">
        <f t="shared" si="33"/>
        <v>4</v>
      </c>
      <c r="AB133" s="8">
        <f t="shared" si="34"/>
        <v>3.2666666666666666</v>
      </c>
      <c r="AC133" s="8">
        <f t="shared" si="35"/>
        <v>0</v>
      </c>
      <c r="AD133" s="10">
        <f t="shared" si="36"/>
        <v>48.979591836734691</v>
      </c>
      <c r="AE133" s="2">
        <f t="shared" si="37"/>
        <v>123.46</v>
      </c>
      <c r="AF133" s="9">
        <f t="shared" si="38"/>
        <v>1</v>
      </c>
      <c r="AG133" s="9">
        <f t="shared" si="39"/>
        <v>1</v>
      </c>
      <c r="AH133" s="70">
        <f t="shared" si="40"/>
        <v>0.90625</v>
      </c>
      <c r="AI133"/>
    </row>
    <row r="134" spans="1:35" x14ac:dyDescent="0.25">
      <c r="A134" s="22">
        <v>18</v>
      </c>
      <c r="B134" s="24">
        <v>46142</v>
      </c>
      <c r="C134" s="1" t="s">
        <v>34</v>
      </c>
      <c r="D134" s="1">
        <v>5470</v>
      </c>
      <c r="E134" s="4" t="s">
        <v>51</v>
      </c>
      <c r="F134" s="5" t="s">
        <v>36</v>
      </c>
      <c r="G134" s="22">
        <v>8875.9500000000025</v>
      </c>
      <c r="H134" s="22">
        <v>0</v>
      </c>
      <c r="I134" s="22">
        <v>85</v>
      </c>
      <c r="J134" s="22"/>
      <c r="K134" s="22"/>
      <c r="L134" s="22"/>
      <c r="M134" s="22"/>
      <c r="N134" s="4" cm="1">
        <f t="array" ref="N134">_xlfn.IFS(E134="MOLINOS CHAMPION S.F",42,E134="PROPALCOL",42,E134="MASTERTEC",42,E134="GANADERIA OVIA",42,E134="ENGORDE",40,E134="DESCARTES",40,E134="REPRODUCTORA",10,E134="BAJO PESO",40,E134="CHICKENCORP",42)</f>
        <v>42</v>
      </c>
      <c r="O134" s="7">
        <f t="shared" si="28"/>
        <v>0</v>
      </c>
      <c r="P134" s="22">
        <f t="shared" si="29"/>
        <v>104.42294117647062</v>
      </c>
      <c r="Q134" s="22">
        <f t="shared" si="30"/>
        <v>0</v>
      </c>
      <c r="R134" s="7">
        <f t="shared" si="31"/>
        <v>1</v>
      </c>
      <c r="S134" s="22">
        <v>32</v>
      </c>
      <c r="T134" s="23">
        <v>0.40972222222222221</v>
      </c>
      <c r="U134" s="23">
        <v>0.5180555555555556</v>
      </c>
      <c r="V134" s="12"/>
      <c r="W134" s="12"/>
      <c r="X134" s="2"/>
      <c r="Y134" s="2">
        <f t="shared" si="32"/>
        <v>0</v>
      </c>
      <c r="Z134" s="2"/>
      <c r="AA134" s="2">
        <f t="shared" si="33"/>
        <v>2.0238095238095237</v>
      </c>
      <c r="AB134" s="8">
        <f t="shared" si="34"/>
        <v>2.6</v>
      </c>
      <c r="AC134" s="8">
        <f t="shared" si="35"/>
        <v>0.57619047619047636</v>
      </c>
      <c r="AD134" s="10">
        <f t="shared" si="36"/>
        <v>32.692307692307693</v>
      </c>
      <c r="AE134" s="2">
        <f t="shared" si="37"/>
        <v>0</v>
      </c>
      <c r="AF134" s="9">
        <f t="shared" si="38"/>
        <v>0.71529411764705875</v>
      </c>
      <c r="AG134" s="9">
        <f t="shared" si="39"/>
        <v>0.7783882783882784</v>
      </c>
      <c r="AH134" s="70">
        <f t="shared" si="40"/>
        <v>0.55677655677655669</v>
      </c>
      <c r="AI134"/>
    </row>
    <row r="135" spans="1:35" x14ac:dyDescent="0.25">
      <c r="A135" s="22">
        <v>18</v>
      </c>
      <c r="B135" s="24">
        <v>46142</v>
      </c>
      <c r="C135" s="1" t="s">
        <v>34</v>
      </c>
      <c r="D135" s="1">
        <v>274</v>
      </c>
      <c r="E135" s="4" t="s">
        <v>37</v>
      </c>
      <c r="F135" s="5" t="s">
        <v>36</v>
      </c>
      <c r="G135" s="22">
        <v>11050.800000000001</v>
      </c>
      <c r="H135" s="22">
        <v>8829.3299999999981</v>
      </c>
      <c r="I135" s="22">
        <v>112</v>
      </c>
      <c r="J135" s="22">
        <v>18</v>
      </c>
      <c r="K135" s="22" t="s">
        <v>45</v>
      </c>
      <c r="L135" s="22"/>
      <c r="M135" s="22"/>
      <c r="N135" s="4" cm="1">
        <f t="array" ref="N135">_xlfn.IFS(E135="MOLINOS CHAMPION S.F",42,E135="PROPALCOL",42,E135="MASTERTEC",42,E135="GANADERIA OVIA",42,E135="ENGORDE",40,E135="DESCARTES",40,E135="REPRODUCTORA",10,E135="BAJO PESO",40,E135="CHICKENCORP",42)</f>
        <v>40</v>
      </c>
      <c r="O135" s="7">
        <f t="shared" si="28"/>
        <v>0.79897654468454748</v>
      </c>
      <c r="P135" s="22">
        <f t="shared" si="29"/>
        <v>98.667857142857159</v>
      </c>
      <c r="Q135" s="22">
        <f t="shared" si="30"/>
        <v>78.833303571428559</v>
      </c>
      <c r="R135" s="7">
        <f t="shared" si="31"/>
        <v>0.8392857142857143</v>
      </c>
      <c r="S135" s="22">
        <v>34</v>
      </c>
      <c r="T135" s="23">
        <v>0.29166666666666669</v>
      </c>
      <c r="U135" s="23">
        <v>0.42569444444444443</v>
      </c>
      <c r="V135" s="12"/>
      <c r="W135" s="12"/>
      <c r="X135" s="2"/>
      <c r="Y135" s="2">
        <f t="shared" si="32"/>
        <v>0</v>
      </c>
      <c r="Z135" s="2">
        <v>1</v>
      </c>
      <c r="AA135" s="2">
        <f t="shared" si="33"/>
        <v>2.8</v>
      </c>
      <c r="AB135" s="8">
        <f t="shared" si="34"/>
        <v>2.2166666666666668</v>
      </c>
      <c r="AC135" s="8">
        <f t="shared" si="35"/>
        <v>0</v>
      </c>
      <c r="AD135" s="10">
        <f t="shared" si="36"/>
        <v>50.526315789473685</v>
      </c>
      <c r="AE135" s="2">
        <f t="shared" si="37"/>
        <v>117.15</v>
      </c>
      <c r="AF135" s="9">
        <f t="shared" si="38"/>
        <v>1</v>
      </c>
      <c r="AG135" s="9">
        <f t="shared" si="39"/>
        <v>1</v>
      </c>
      <c r="AH135" s="70">
        <f t="shared" si="40"/>
        <v>0.8392857142857143</v>
      </c>
      <c r="AI135"/>
    </row>
    <row r="136" spans="1:35" x14ac:dyDescent="0.25">
      <c r="A136" s="22">
        <v>18</v>
      </c>
      <c r="B136" s="24">
        <v>46145</v>
      </c>
      <c r="C136" s="1" t="s">
        <v>34</v>
      </c>
      <c r="D136" s="1">
        <v>274</v>
      </c>
      <c r="E136" s="4" t="s">
        <v>37</v>
      </c>
      <c r="F136" s="5" t="s">
        <v>36</v>
      </c>
      <c r="G136" s="22">
        <v>20673.8</v>
      </c>
      <c r="H136" s="22">
        <v>16568.400000000001</v>
      </c>
      <c r="I136" s="22">
        <v>180</v>
      </c>
      <c r="J136" s="22">
        <v>20</v>
      </c>
      <c r="K136" s="22" t="s">
        <v>50</v>
      </c>
      <c r="L136" s="22"/>
      <c r="M136" s="22"/>
      <c r="N136" s="4" cm="1">
        <f t="array" ref="N136">_xlfn.IFS(E136="MOLINOS CHAMPION S.F",42,E136="PROPALCOL",42,E136="MASTERTEC",42,E136="GANADERIA OVIA",42,E136="ENGORDE",40,E136="DESCARTES",40,E136="REPRODUCTORA",10,E136="BAJO PESO",40,E136="CHICKENCORP",42)</f>
        <v>40</v>
      </c>
      <c r="O136" s="7">
        <f t="shared" si="28"/>
        <v>0.80142015497876551</v>
      </c>
      <c r="P136" s="22">
        <f t="shared" si="29"/>
        <v>114.85444444444444</v>
      </c>
      <c r="Q136" s="22">
        <f t="shared" si="30"/>
        <v>92.046666666666681</v>
      </c>
      <c r="R136" s="7">
        <f t="shared" si="31"/>
        <v>0.88888888888888884</v>
      </c>
      <c r="S136" s="22">
        <v>26</v>
      </c>
      <c r="T136" s="23">
        <v>0.2986111111111111</v>
      </c>
      <c r="U136" s="23">
        <v>0.51388888888888884</v>
      </c>
      <c r="V136" s="12"/>
      <c r="W136" s="12"/>
      <c r="X136" s="2"/>
      <c r="Y136" s="2">
        <f t="shared" si="32"/>
        <v>0</v>
      </c>
      <c r="Z136" s="2">
        <v>1</v>
      </c>
      <c r="AA136" s="2">
        <f t="shared" si="33"/>
        <v>4.5</v>
      </c>
      <c r="AB136" s="8">
        <f t="shared" si="34"/>
        <v>4.166666666666667</v>
      </c>
      <c r="AC136" s="8">
        <f t="shared" si="35"/>
        <v>0</v>
      </c>
      <c r="AD136" s="10">
        <f t="shared" si="36"/>
        <v>43.199999999999996</v>
      </c>
      <c r="AE136" s="2">
        <f t="shared" si="37"/>
        <v>152.94</v>
      </c>
      <c r="AF136" s="9">
        <f t="shared" si="38"/>
        <v>1</v>
      </c>
      <c r="AG136" s="9">
        <f t="shared" si="39"/>
        <v>1</v>
      </c>
      <c r="AH136" s="70">
        <f t="shared" si="40"/>
        <v>0.88888888888888884</v>
      </c>
      <c r="AI136"/>
    </row>
    <row r="137" spans="1:35" x14ac:dyDescent="0.25">
      <c r="A137" s="22">
        <v>19</v>
      </c>
      <c r="B137" s="24">
        <v>46146</v>
      </c>
      <c r="C137" s="1" t="s">
        <v>34</v>
      </c>
      <c r="D137" s="1">
        <v>5470</v>
      </c>
      <c r="E137" s="4" t="s">
        <v>35</v>
      </c>
      <c r="F137" s="5" t="s">
        <v>36</v>
      </c>
      <c r="G137" s="22">
        <v>13856.25</v>
      </c>
      <c r="H137" s="22">
        <v>10572.6</v>
      </c>
      <c r="I137" s="22">
        <v>120</v>
      </c>
      <c r="J137" s="22"/>
      <c r="K137" s="22"/>
      <c r="L137" s="22"/>
      <c r="M137" s="22"/>
      <c r="N137" s="4" cm="1">
        <f t="array" ref="N137">_xlfn.IFS(E137="MOLINOS CHAMPION S.F",42,E137="PROPALCOL",42,E137="MASTERTEC",42,E137="GANADERIA OVIA",42,E137="ENGORDE",40,E137="DESCARTES",40,E137="REPRODUCTORA",10,E137="BAJO PESO",40,E137="CHICKENCORP",42)</f>
        <v>42</v>
      </c>
      <c r="O137" s="7">
        <f t="shared" si="28"/>
        <v>0.76302029769959412</v>
      </c>
      <c r="P137" s="22">
        <f t="shared" si="29"/>
        <v>115.46875</v>
      </c>
      <c r="Q137" s="22">
        <f t="shared" si="30"/>
        <v>88.105000000000004</v>
      </c>
      <c r="R137" s="7">
        <f t="shared" si="31"/>
        <v>1</v>
      </c>
      <c r="S137" s="22">
        <v>33</v>
      </c>
      <c r="T137" s="23">
        <v>0.29166666666666669</v>
      </c>
      <c r="U137" s="23">
        <v>0.40416666666666667</v>
      </c>
      <c r="V137" s="12"/>
      <c r="W137" s="12"/>
      <c r="X137" s="2"/>
      <c r="Y137" s="2">
        <f t="shared" si="32"/>
        <v>0</v>
      </c>
      <c r="Z137" s="2"/>
      <c r="AA137" s="2">
        <f t="shared" si="33"/>
        <v>2.8571428571428572</v>
      </c>
      <c r="AB137" s="8">
        <f t="shared" si="34"/>
        <v>2.7</v>
      </c>
      <c r="AC137" s="8">
        <f t="shared" si="35"/>
        <v>0</v>
      </c>
      <c r="AD137" s="10">
        <f t="shared" si="36"/>
        <v>44.444444444444443</v>
      </c>
      <c r="AE137" s="2">
        <f t="shared" si="37"/>
        <v>118.66</v>
      </c>
      <c r="AF137" s="9">
        <f t="shared" si="38"/>
        <v>1</v>
      </c>
      <c r="AG137" s="9">
        <f t="shared" si="39"/>
        <v>1</v>
      </c>
      <c r="AH137" s="70">
        <f t="shared" si="40"/>
        <v>1</v>
      </c>
      <c r="AI137"/>
    </row>
    <row r="138" spans="1:35" x14ac:dyDescent="0.25">
      <c r="A138" s="22">
        <v>19</v>
      </c>
      <c r="B138" s="24">
        <v>46146</v>
      </c>
      <c r="C138" s="1" t="s">
        <v>34</v>
      </c>
      <c r="D138" s="1">
        <v>274</v>
      </c>
      <c r="E138" s="4" t="s">
        <v>37</v>
      </c>
      <c r="F138" s="5" t="s">
        <v>36</v>
      </c>
      <c r="G138" s="22">
        <v>28006.803</v>
      </c>
      <c r="H138" s="22">
        <v>22546</v>
      </c>
      <c r="I138" s="22">
        <v>240</v>
      </c>
      <c r="J138" s="22">
        <v>20</v>
      </c>
      <c r="K138" s="22" t="s">
        <v>50</v>
      </c>
      <c r="L138" s="22"/>
      <c r="M138" s="22"/>
      <c r="N138" s="4" cm="1">
        <f t="array" ref="N138">_xlfn.IFS(E138="MOLINOS CHAMPION S.F",42,E138="PROPALCOL",42,E138="MASTERTEC",42,E138="GANADERIA OVIA",42,E138="ENGORDE",40,E138="DESCARTES",40,E138="REPRODUCTORA",10,E138="BAJO PESO",40,E138="CHICKENCORP",42)</f>
        <v>40</v>
      </c>
      <c r="O138" s="7">
        <f t="shared" si="28"/>
        <v>0.80501869492208733</v>
      </c>
      <c r="P138" s="22">
        <f t="shared" si="29"/>
        <v>116.6950125</v>
      </c>
      <c r="Q138" s="22">
        <f t="shared" si="30"/>
        <v>93.941666666666663</v>
      </c>
      <c r="R138" s="7">
        <f t="shared" si="31"/>
        <v>0.91666666666666663</v>
      </c>
      <c r="S138" s="22">
        <v>33</v>
      </c>
      <c r="T138" s="23">
        <v>0.40972222222222221</v>
      </c>
      <c r="U138" s="23">
        <v>0.71875</v>
      </c>
      <c r="V138" s="12"/>
      <c r="W138" s="12"/>
      <c r="X138" s="2"/>
      <c r="Y138" s="2">
        <f t="shared" si="32"/>
        <v>0</v>
      </c>
      <c r="Z138" s="2">
        <v>1</v>
      </c>
      <c r="AA138" s="2">
        <f t="shared" si="33"/>
        <v>6</v>
      </c>
      <c r="AB138" s="8">
        <f t="shared" si="34"/>
        <v>6.416666666666667</v>
      </c>
      <c r="AC138" s="8">
        <f t="shared" si="35"/>
        <v>0.41666666666666696</v>
      </c>
      <c r="AD138" s="10">
        <f t="shared" si="36"/>
        <v>37.402597402597401</v>
      </c>
      <c r="AE138" s="2">
        <f t="shared" si="37"/>
        <v>106.47</v>
      </c>
      <c r="AF138" s="9">
        <f t="shared" si="38"/>
        <v>0.93055555555555547</v>
      </c>
      <c r="AG138" s="9">
        <f t="shared" si="39"/>
        <v>0.93506493506493504</v>
      </c>
      <c r="AH138" s="70">
        <f t="shared" si="40"/>
        <v>0.79761904761904756</v>
      </c>
      <c r="AI138"/>
    </row>
    <row r="139" spans="1:35" x14ac:dyDescent="0.25">
      <c r="A139" s="22">
        <v>19</v>
      </c>
      <c r="B139" s="24">
        <v>46147</v>
      </c>
      <c r="C139" s="1" t="s">
        <v>34</v>
      </c>
      <c r="D139" s="1">
        <v>5470</v>
      </c>
      <c r="E139" s="4" t="s">
        <v>35</v>
      </c>
      <c r="F139" s="5" t="s">
        <v>36</v>
      </c>
      <c r="G139" s="22">
        <v>6157.4</v>
      </c>
      <c r="H139" s="22">
        <v>4669.0999999999995</v>
      </c>
      <c r="I139" s="22">
        <v>60</v>
      </c>
      <c r="J139" s="22"/>
      <c r="K139" s="22"/>
      <c r="L139" s="22"/>
      <c r="M139" s="22"/>
      <c r="N139" s="4" cm="1">
        <f t="array" ref="N139">_xlfn.IFS(E139="MOLINOS CHAMPION S.F",42,E139="PROPALCOL",42,E139="MASTERTEC",42,E139="GANADERIA OVIA",42,E139="ENGORDE",40,E139="DESCARTES",40,E139="REPRODUCTORA",10,E139="BAJO PESO",40,E139="CHICKENCORP",42)</f>
        <v>42</v>
      </c>
      <c r="O139" s="7">
        <f t="shared" si="28"/>
        <v>0.75829083704160838</v>
      </c>
      <c r="P139" s="22">
        <f t="shared" si="29"/>
        <v>102.62333333333332</v>
      </c>
      <c r="Q139" s="22">
        <f t="shared" si="30"/>
        <v>77.818333333333328</v>
      </c>
      <c r="R139" s="7">
        <f t="shared" si="31"/>
        <v>1</v>
      </c>
      <c r="S139" s="22">
        <v>33</v>
      </c>
      <c r="T139" s="23">
        <v>0.6875</v>
      </c>
      <c r="U139" s="23">
        <v>0.76041666666666663</v>
      </c>
      <c r="V139" s="12"/>
      <c r="W139" s="12"/>
      <c r="X139" s="2"/>
      <c r="Y139" s="2">
        <f t="shared" si="32"/>
        <v>0</v>
      </c>
      <c r="Z139" s="2"/>
      <c r="AA139" s="2">
        <f t="shared" si="33"/>
        <v>1.4285714285714286</v>
      </c>
      <c r="AB139" s="8">
        <f t="shared" si="34"/>
        <v>1.75</v>
      </c>
      <c r="AC139" s="8">
        <f t="shared" si="35"/>
        <v>0.3214285714285714</v>
      </c>
      <c r="AD139" s="10">
        <f t="shared" si="36"/>
        <v>34.285714285714285</v>
      </c>
      <c r="AE139" s="2">
        <f t="shared" si="37"/>
        <v>80.849999999999994</v>
      </c>
      <c r="AF139" s="9">
        <f t="shared" si="38"/>
        <v>0.77500000000000002</v>
      </c>
      <c r="AG139" s="9">
        <f t="shared" si="39"/>
        <v>0.81632653061224492</v>
      </c>
      <c r="AH139" s="70">
        <f t="shared" si="40"/>
        <v>0.63265306122448983</v>
      </c>
      <c r="AI139"/>
    </row>
    <row r="140" spans="1:35" x14ac:dyDescent="0.25">
      <c r="A140" s="22">
        <v>19</v>
      </c>
      <c r="B140" s="24">
        <v>46147</v>
      </c>
      <c r="C140" s="1" t="s">
        <v>34</v>
      </c>
      <c r="D140" s="1">
        <v>274</v>
      </c>
      <c r="E140" s="4" t="s">
        <v>37</v>
      </c>
      <c r="F140" s="5" t="s">
        <v>36</v>
      </c>
      <c r="G140" s="22">
        <v>21564.600000000002</v>
      </c>
      <c r="H140" s="22">
        <v>17068.900000000005</v>
      </c>
      <c r="I140" s="22">
        <v>247</v>
      </c>
      <c r="J140" s="22">
        <v>94</v>
      </c>
      <c r="K140" s="22" t="s">
        <v>50</v>
      </c>
      <c r="L140" s="22"/>
      <c r="M140" s="22"/>
      <c r="N140" s="4" cm="1">
        <f t="array" ref="N140">_xlfn.IFS(E140="MOLINOS CHAMPION S.F",42,E140="PROPALCOL",42,E140="MASTERTEC",42,E140="GANADERIA OVIA",42,E140="ENGORDE",40,E140="DESCARTES",40,E140="REPRODUCTORA",10,E140="BAJO PESO",40,E140="CHICKENCORP",42)</f>
        <v>40</v>
      </c>
      <c r="O140" s="7">
        <f t="shared" si="28"/>
        <v>0.79152407185850904</v>
      </c>
      <c r="P140" s="22">
        <f t="shared" si="29"/>
        <v>87.306072874493935</v>
      </c>
      <c r="Q140" s="22">
        <f t="shared" si="30"/>
        <v>69.104858299595165</v>
      </c>
      <c r="R140" s="7">
        <f t="shared" si="31"/>
        <v>0.61943319838056676</v>
      </c>
      <c r="S140" s="22">
        <v>33</v>
      </c>
      <c r="T140" s="23">
        <v>0.3923611111111111</v>
      </c>
      <c r="U140" s="23">
        <v>0.66319444444444442</v>
      </c>
      <c r="V140" s="12"/>
      <c r="W140" s="12"/>
      <c r="X140" s="2"/>
      <c r="Y140" s="2">
        <f t="shared" si="32"/>
        <v>0</v>
      </c>
      <c r="Z140" s="2">
        <v>1</v>
      </c>
      <c r="AA140" s="2">
        <f t="shared" si="33"/>
        <v>6.1749999999999998</v>
      </c>
      <c r="AB140" s="8">
        <f t="shared" si="34"/>
        <v>5.5</v>
      </c>
      <c r="AC140" s="8">
        <f t="shared" si="35"/>
        <v>0</v>
      </c>
      <c r="AD140" s="10">
        <f t="shared" si="36"/>
        <v>44.909090909090907</v>
      </c>
      <c r="AE140" s="2">
        <f t="shared" si="37"/>
        <v>94.04</v>
      </c>
      <c r="AF140" s="9">
        <f t="shared" si="38"/>
        <v>1</v>
      </c>
      <c r="AG140" s="9">
        <f t="shared" si="39"/>
        <v>1</v>
      </c>
      <c r="AH140" s="70">
        <f t="shared" si="40"/>
        <v>0.61943319838056676</v>
      </c>
      <c r="AI140"/>
    </row>
    <row r="141" spans="1:35" x14ac:dyDescent="0.25">
      <c r="A141" s="22">
        <v>19</v>
      </c>
      <c r="B141" s="24">
        <v>46147</v>
      </c>
      <c r="C141" s="1" t="s">
        <v>38</v>
      </c>
      <c r="D141" s="6"/>
      <c r="E141" s="4" t="s">
        <v>39</v>
      </c>
      <c r="F141" s="5" t="s">
        <v>42</v>
      </c>
      <c r="G141" s="22">
        <v>2312.15</v>
      </c>
      <c r="H141" s="22">
        <v>1789.3999999999999</v>
      </c>
      <c r="I141" s="22">
        <v>11</v>
      </c>
      <c r="J141" s="22"/>
      <c r="K141" s="22"/>
      <c r="L141" s="22"/>
      <c r="M141" s="22"/>
      <c r="N141" s="4" cm="1">
        <f t="array" ref="N141">_xlfn.IFS(E141="MOLINOS CHAMPION S.F",42,E141="PROPALCOL",42,E141="MASTERTEC",42,E141="GANADERIA OVIA",42,E141="ENGORDE",40,E141="DESCARTES",40,E141="REPRODUCTORA",10,E141="BAJO PESO",40,E141="CHICKENCORP",42)</f>
        <v>10</v>
      </c>
      <c r="O141" s="7">
        <f t="shared" si="28"/>
        <v>0.77391172718032986</v>
      </c>
      <c r="P141" s="22">
        <f t="shared" si="29"/>
        <v>210.19545454545457</v>
      </c>
      <c r="Q141" s="22">
        <f t="shared" si="30"/>
        <v>162.67272727272726</v>
      </c>
      <c r="R141" s="7">
        <f t="shared" si="31"/>
        <v>1</v>
      </c>
      <c r="S141" s="22">
        <v>33</v>
      </c>
      <c r="T141" s="23">
        <v>0.7416666666666667</v>
      </c>
      <c r="U141" s="23">
        <v>0.81597222222222221</v>
      </c>
      <c r="V141" s="12"/>
      <c r="W141" s="12"/>
      <c r="X141" s="2"/>
      <c r="Y141" s="2">
        <f t="shared" si="32"/>
        <v>0</v>
      </c>
      <c r="Z141" s="2"/>
      <c r="AA141" s="2">
        <f t="shared" si="33"/>
        <v>1.1000000000000001</v>
      </c>
      <c r="AB141" s="8">
        <f t="shared" si="34"/>
        <v>1.7833333333333332</v>
      </c>
      <c r="AC141" s="8">
        <f t="shared" si="35"/>
        <v>0.68333333333333313</v>
      </c>
      <c r="AD141" s="10">
        <f t="shared" si="36"/>
        <v>6.1682242990654208</v>
      </c>
      <c r="AE141" s="2">
        <f t="shared" si="37"/>
        <v>30.41</v>
      </c>
      <c r="AF141" s="9">
        <f t="shared" si="38"/>
        <v>0.37878787878787901</v>
      </c>
      <c r="AG141" s="9">
        <f t="shared" si="39"/>
        <v>0.61682242990654212</v>
      </c>
      <c r="AH141" s="70">
        <f t="shared" si="40"/>
        <v>0.23364485981308428</v>
      </c>
      <c r="AI141"/>
    </row>
    <row r="142" spans="1:35" x14ac:dyDescent="0.25">
      <c r="A142" s="22">
        <v>19</v>
      </c>
      <c r="B142" s="24">
        <v>46148</v>
      </c>
      <c r="C142" s="1" t="s">
        <v>34</v>
      </c>
      <c r="D142" s="1">
        <v>5470</v>
      </c>
      <c r="E142" s="4" t="s">
        <v>35</v>
      </c>
      <c r="F142" s="5" t="s">
        <v>36</v>
      </c>
      <c r="G142" s="22">
        <v>6401.75</v>
      </c>
      <c r="H142" s="22">
        <v>4835.7</v>
      </c>
      <c r="I142" s="22">
        <v>60</v>
      </c>
      <c r="J142" s="22"/>
      <c r="K142" s="22"/>
      <c r="L142" s="22"/>
      <c r="M142" s="22"/>
      <c r="N142" s="4" cm="1">
        <f t="array" ref="N142">_xlfn.IFS(E142="MOLINOS CHAMPION S.F",42,E142="PROPALCOL",42,E142="MASTERTEC",42,E142="GANADERIA OVIA",42,E142="ENGORDE",40,E142="DESCARTES",40,E142="REPRODUCTORA",10,E142="BAJO PESO",40,E142="CHICKENCORP",42)</f>
        <v>42</v>
      </c>
      <c r="O142" s="7">
        <f t="shared" si="28"/>
        <v>0.75537157808411759</v>
      </c>
      <c r="P142" s="22">
        <f t="shared" si="29"/>
        <v>106.69583333333334</v>
      </c>
      <c r="Q142" s="22">
        <f t="shared" si="30"/>
        <v>80.594999999999999</v>
      </c>
      <c r="R142" s="7">
        <f t="shared" si="31"/>
        <v>1</v>
      </c>
      <c r="S142" s="22">
        <v>31</v>
      </c>
      <c r="T142" s="23">
        <v>0.63194444444444442</v>
      </c>
      <c r="U142" s="23">
        <v>0.70833333333333337</v>
      </c>
      <c r="V142" s="12"/>
      <c r="W142" s="12"/>
      <c r="X142" s="2"/>
      <c r="Y142" s="2">
        <f t="shared" si="32"/>
        <v>0</v>
      </c>
      <c r="Z142" s="2"/>
      <c r="AA142" s="2">
        <f t="shared" si="33"/>
        <v>1.4285714285714286</v>
      </c>
      <c r="AB142" s="8">
        <f t="shared" si="34"/>
        <v>1.8333333333333335</v>
      </c>
      <c r="AC142" s="8">
        <f t="shared" si="35"/>
        <v>0.40476190476190488</v>
      </c>
      <c r="AD142" s="10">
        <f t="shared" si="36"/>
        <v>32.727272727272727</v>
      </c>
      <c r="AE142" s="2">
        <f t="shared" si="37"/>
        <v>85.09</v>
      </c>
      <c r="AF142" s="9">
        <f t="shared" si="38"/>
        <v>0.71666666666666656</v>
      </c>
      <c r="AG142" s="9">
        <f t="shared" si="39"/>
        <v>0.77922077922077926</v>
      </c>
      <c r="AH142" s="70">
        <f t="shared" si="40"/>
        <v>0.55844155844155841</v>
      </c>
      <c r="AI142"/>
    </row>
    <row r="143" spans="1:35" x14ac:dyDescent="0.25">
      <c r="A143" s="22">
        <v>19</v>
      </c>
      <c r="B143" s="24">
        <v>46148</v>
      </c>
      <c r="C143" s="1" t="s">
        <v>34</v>
      </c>
      <c r="D143" s="1">
        <v>274</v>
      </c>
      <c r="E143" s="4" t="s">
        <v>37</v>
      </c>
      <c r="F143" s="5" t="s">
        <v>36</v>
      </c>
      <c r="G143" s="22">
        <v>21768.403999999995</v>
      </c>
      <c r="H143" s="22">
        <v>16985.339999999997</v>
      </c>
      <c r="I143" s="22">
        <v>248</v>
      </c>
      <c r="J143" s="22">
        <v>70</v>
      </c>
      <c r="K143" s="22" t="s">
        <v>50</v>
      </c>
      <c r="L143" s="22"/>
      <c r="M143" s="22"/>
      <c r="N143" s="4" cm="1">
        <f t="array" ref="N143">_xlfn.IFS(E143="MOLINOS CHAMPION S.F",42,E143="PROPALCOL",42,E143="MASTERTEC",42,E143="GANADERIA OVIA",42,E143="ENGORDE",40,E143="DESCARTES",40,E143="REPRODUCTORA",10,E143="BAJO PESO",40,E143="CHICKENCORP",42)</f>
        <v>40</v>
      </c>
      <c r="O143" s="7">
        <f t="shared" si="28"/>
        <v>0.78027493425792727</v>
      </c>
      <c r="P143" s="22">
        <f t="shared" si="29"/>
        <v>87.775822580645141</v>
      </c>
      <c r="Q143" s="22">
        <f t="shared" si="30"/>
        <v>68.489274193548368</v>
      </c>
      <c r="R143" s="7">
        <f t="shared" si="31"/>
        <v>0.717741935483871</v>
      </c>
      <c r="S143" s="22">
        <v>31</v>
      </c>
      <c r="T143" s="23">
        <v>0.33333333333333331</v>
      </c>
      <c r="U143" s="23">
        <v>0.64930555555555558</v>
      </c>
      <c r="V143" s="12"/>
      <c r="W143" s="12"/>
      <c r="X143" s="2"/>
      <c r="Y143" s="2">
        <f t="shared" si="32"/>
        <v>0</v>
      </c>
      <c r="Z143" s="2">
        <v>1</v>
      </c>
      <c r="AA143" s="2">
        <f t="shared" si="33"/>
        <v>6.2</v>
      </c>
      <c r="AB143" s="8">
        <f t="shared" si="34"/>
        <v>6.583333333333333</v>
      </c>
      <c r="AC143" s="8">
        <f t="shared" si="35"/>
        <v>0.38333333333333286</v>
      </c>
      <c r="AD143" s="10">
        <f t="shared" si="36"/>
        <v>37.670886075949369</v>
      </c>
      <c r="AE143" s="2">
        <f t="shared" si="37"/>
        <v>83.23</v>
      </c>
      <c r="AF143" s="9">
        <f t="shared" si="38"/>
        <v>0.93817204301075274</v>
      </c>
      <c r="AG143" s="9">
        <f t="shared" si="39"/>
        <v>0.9417721518987342</v>
      </c>
      <c r="AH143" s="70">
        <f t="shared" si="40"/>
        <v>0.63415679869334429</v>
      </c>
      <c r="AI143"/>
    </row>
    <row r="144" spans="1:35" x14ac:dyDescent="0.25">
      <c r="A144" s="22">
        <v>19</v>
      </c>
      <c r="B144" s="24">
        <v>46149</v>
      </c>
      <c r="C144" s="1" t="s">
        <v>34</v>
      </c>
      <c r="D144" s="1">
        <v>274</v>
      </c>
      <c r="E144" s="4" t="s">
        <v>37</v>
      </c>
      <c r="F144" s="5" t="s">
        <v>36</v>
      </c>
      <c r="G144" s="22">
        <v>28086.7</v>
      </c>
      <c r="H144" s="22">
        <v>22450.199999999997</v>
      </c>
      <c r="I144" s="22">
        <v>295</v>
      </c>
      <c r="J144" s="22">
        <v>70</v>
      </c>
      <c r="K144" s="22" t="s">
        <v>50</v>
      </c>
      <c r="L144" s="22"/>
      <c r="M144" s="22"/>
      <c r="N144" s="4" cm="1">
        <f t="array" ref="N144">_xlfn.IFS(E144="MOLINOS CHAMPION S.F",42,E144="PROPALCOL",42,E144="MASTERTEC",42,E144="GANADERIA OVIA",42,E144="ENGORDE",40,E144="DESCARTES",40,E144="REPRODUCTORA",10,E144="BAJO PESO",40,E144="CHICKENCORP",42)</f>
        <v>40</v>
      </c>
      <c r="O144" s="7">
        <f t="shared" si="28"/>
        <v>0.79931782658696093</v>
      </c>
      <c r="P144" s="22">
        <f t="shared" si="29"/>
        <v>95.209152542372877</v>
      </c>
      <c r="Q144" s="22">
        <f t="shared" si="30"/>
        <v>76.102372881355919</v>
      </c>
      <c r="R144" s="7">
        <f t="shared" si="31"/>
        <v>0.76271186440677963</v>
      </c>
      <c r="S144" s="22">
        <v>31</v>
      </c>
      <c r="T144" s="23">
        <v>0.33333333333333331</v>
      </c>
      <c r="U144" s="23">
        <v>0.66319444444444442</v>
      </c>
      <c r="V144" s="12"/>
      <c r="W144" s="12"/>
      <c r="X144" s="2"/>
      <c r="Y144" s="2">
        <f t="shared" si="32"/>
        <v>0</v>
      </c>
      <c r="Z144" s="2">
        <v>1</v>
      </c>
      <c r="AA144" s="2">
        <f t="shared" si="33"/>
        <v>7.375</v>
      </c>
      <c r="AB144" s="8">
        <f t="shared" si="34"/>
        <v>6.916666666666667</v>
      </c>
      <c r="AC144" s="8">
        <f t="shared" si="35"/>
        <v>0</v>
      </c>
      <c r="AD144" s="10">
        <f t="shared" si="36"/>
        <v>42.650602409638552</v>
      </c>
      <c r="AE144" s="2">
        <f t="shared" si="37"/>
        <v>104.7</v>
      </c>
      <c r="AF144" s="9">
        <f t="shared" si="38"/>
        <v>1</v>
      </c>
      <c r="AG144" s="9">
        <f t="shared" si="39"/>
        <v>1</v>
      </c>
      <c r="AH144" s="70">
        <f t="shared" si="40"/>
        <v>0.76271186440677963</v>
      </c>
      <c r="AI144"/>
    </row>
    <row r="145" spans="1:35" x14ac:dyDescent="0.25">
      <c r="A145" s="22">
        <v>19</v>
      </c>
      <c r="B145" s="24">
        <v>46151</v>
      </c>
      <c r="C145" s="1" t="s">
        <v>34</v>
      </c>
      <c r="D145" s="1">
        <v>274</v>
      </c>
      <c r="E145" s="4" t="s">
        <v>37</v>
      </c>
      <c r="F145" s="5" t="s">
        <v>36</v>
      </c>
      <c r="G145" s="22">
        <v>25355.749999999996</v>
      </c>
      <c r="H145" s="22">
        <v>20548.350000000006</v>
      </c>
      <c r="I145" s="22">
        <v>234</v>
      </c>
      <c r="J145" s="22">
        <v>15</v>
      </c>
      <c r="K145" s="22" t="s">
        <v>50</v>
      </c>
      <c r="L145" s="22"/>
      <c r="M145" s="22"/>
      <c r="N145" s="4" cm="1">
        <f t="array" ref="N145">_xlfn.IFS(E145="MOLINOS CHAMPION S.F",42,E145="PROPALCOL",42,E145="MASTERTEC",42,E145="GANADERIA OVIA",42,E145="ENGORDE",40,E145="DESCARTES",40,E145="REPRODUCTORA",10,E145="BAJO PESO",40,E145="CHICKENCORP",42)</f>
        <v>40</v>
      </c>
      <c r="O145" s="7">
        <f t="shared" si="28"/>
        <v>0.8104019798270613</v>
      </c>
      <c r="P145" s="22">
        <f t="shared" si="29"/>
        <v>108.35790598290596</v>
      </c>
      <c r="Q145" s="22">
        <f t="shared" si="30"/>
        <v>87.813461538461567</v>
      </c>
      <c r="R145" s="7">
        <f t="shared" si="31"/>
        <v>0.9358974358974359</v>
      </c>
      <c r="S145" s="22">
        <v>33</v>
      </c>
      <c r="T145" s="23">
        <v>0.48958333333333331</v>
      </c>
      <c r="U145" s="23">
        <v>0.72569444444444442</v>
      </c>
      <c r="V145" s="12"/>
      <c r="W145" s="12"/>
      <c r="X145" s="2"/>
      <c r="Y145" s="2">
        <f t="shared" si="32"/>
        <v>0</v>
      </c>
      <c r="Z145" s="2">
        <v>1</v>
      </c>
      <c r="AA145" s="2">
        <f t="shared" si="33"/>
        <v>5.85</v>
      </c>
      <c r="AB145" s="8">
        <f t="shared" si="34"/>
        <v>4.666666666666667</v>
      </c>
      <c r="AC145" s="8">
        <f t="shared" si="35"/>
        <v>0</v>
      </c>
      <c r="AD145" s="10">
        <f t="shared" si="36"/>
        <v>50.142857142857139</v>
      </c>
      <c r="AE145" s="2">
        <f t="shared" si="37"/>
        <v>133.43</v>
      </c>
      <c r="AF145" s="9">
        <f t="shared" si="38"/>
        <v>1</v>
      </c>
      <c r="AG145" s="9">
        <f t="shared" si="39"/>
        <v>1</v>
      </c>
      <c r="AH145" s="70">
        <f t="shared" si="40"/>
        <v>0.9358974358974359</v>
      </c>
      <c r="AI145"/>
    </row>
    <row r="146" spans="1:35" x14ac:dyDescent="0.25">
      <c r="A146" s="22">
        <v>20</v>
      </c>
      <c r="B146" s="24">
        <v>46153</v>
      </c>
      <c r="C146" s="1" t="s">
        <v>34</v>
      </c>
      <c r="D146" s="1">
        <v>5470</v>
      </c>
      <c r="E146" s="4" t="s">
        <v>35</v>
      </c>
      <c r="F146" s="5" t="s">
        <v>36</v>
      </c>
      <c r="G146" s="22">
        <v>14066.700000000006</v>
      </c>
      <c r="H146" s="22">
        <v>10738.1</v>
      </c>
      <c r="I146" s="22">
        <v>120</v>
      </c>
      <c r="J146" s="22"/>
      <c r="K146" s="22"/>
      <c r="L146" s="22"/>
      <c r="M146" s="22"/>
      <c r="N146" s="4" cm="1">
        <f t="array" ref="N146">_xlfn.IFS(E146="MOLINOS CHAMPION S.F",42,E146="PROPALCOL",42,E146="MASTERTEC",42,E146="GANADERIA OVIA",42,E146="ENGORDE",40,E146="DESCARTES",40,E146="REPRODUCTORA",10,E146="BAJO PESO",40,E146="CHICKENCORP",42)</f>
        <v>42</v>
      </c>
      <c r="O146" s="7">
        <f t="shared" si="28"/>
        <v>0.76337022898049978</v>
      </c>
      <c r="P146" s="22">
        <f t="shared" si="29"/>
        <v>117.22250000000005</v>
      </c>
      <c r="Q146" s="22">
        <f t="shared" si="30"/>
        <v>89.484166666666667</v>
      </c>
      <c r="R146" s="7">
        <f t="shared" si="31"/>
        <v>1</v>
      </c>
      <c r="S146" s="22">
        <v>34</v>
      </c>
      <c r="T146" s="23">
        <v>0.65625</v>
      </c>
      <c r="U146" s="23">
        <v>0.74861111111111112</v>
      </c>
      <c r="V146" s="12"/>
      <c r="W146" s="12"/>
      <c r="X146" s="2"/>
      <c r="Y146" s="2">
        <f t="shared" si="32"/>
        <v>0</v>
      </c>
      <c r="Z146" s="2"/>
      <c r="AA146" s="2">
        <f t="shared" si="33"/>
        <v>2.8571428571428572</v>
      </c>
      <c r="AB146" s="8">
        <f t="shared" si="34"/>
        <v>2.2166666666666668</v>
      </c>
      <c r="AC146" s="8">
        <f t="shared" si="35"/>
        <v>0</v>
      </c>
      <c r="AD146" s="10">
        <f t="shared" si="36"/>
        <v>54.13533834586466</v>
      </c>
      <c r="AE146" s="2">
        <f t="shared" si="37"/>
        <v>142.47999999999999</v>
      </c>
      <c r="AF146" s="9">
        <f t="shared" si="38"/>
        <v>1</v>
      </c>
      <c r="AG146" s="9">
        <f t="shared" si="39"/>
        <v>1</v>
      </c>
      <c r="AH146" s="70">
        <f t="shared" si="40"/>
        <v>1</v>
      </c>
      <c r="AI146"/>
    </row>
    <row r="147" spans="1:35" x14ac:dyDescent="0.25">
      <c r="A147" s="22">
        <v>20</v>
      </c>
      <c r="B147" s="24">
        <v>46153</v>
      </c>
      <c r="C147" s="1" t="s">
        <v>34</v>
      </c>
      <c r="D147" s="1">
        <v>274</v>
      </c>
      <c r="E147" s="4" t="s">
        <v>37</v>
      </c>
      <c r="F147" s="5" t="s">
        <v>36</v>
      </c>
      <c r="G147" s="22">
        <v>22042.7</v>
      </c>
      <c r="H147" s="22">
        <v>17338.850000000006</v>
      </c>
      <c r="I147" s="22">
        <v>236</v>
      </c>
      <c r="J147" s="22">
        <v>75</v>
      </c>
      <c r="K147" s="22" t="s">
        <v>50</v>
      </c>
      <c r="L147" s="22"/>
      <c r="M147" s="22"/>
      <c r="N147" s="4" cm="1">
        <f t="array" ref="N147">_xlfn.IFS(E147="MOLINOS CHAMPION S.F",42,E147="PROPALCOL",42,E147="MASTERTEC",42,E147="GANADERIA OVIA",42,E147="ENGORDE",40,E147="DESCARTES",40,E147="REPRODUCTORA",10,E147="BAJO PESO",40,E147="CHICKENCORP",42)</f>
        <v>40</v>
      </c>
      <c r="O147" s="7">
        <f t="shared" si="28"/>
        <v>0.78660282088854838</v>
      </c>
      <c r="P147" s="22">
        <f t="shared" si="29"/>
        <v>93.401271186440681</v>
      </c>
      <c r="Q147" s="22">
        <f t="shared" si="30"/>
        <v>73.469703389830528</v>
      </c>
      <c r="R147" s="7">
        <f t="shared" si="31"/>
        <v>0.68220338983050843</v>
      </c>
      <c r="S147" s="22">
        <v>34</v>
      </c>
      <c r="T147" s="23">
        <v>0.33333333333333331</v>
      </c>
      <c r="U147" s="23">
        <v>0.68402777777777779</v>
      </c>
      <c r="V147" s="21"/>
      <c r="W147" s="21"/>
      <c r="X147" s="2"/>
      <c r="Y147" s="2">
        <f t="shared" si="32"/>
        <v>0</v>
      </c>
      <c r="Z147" s="2">
        <v>1</v>
      </c>
      <c r="AA147" s="2">
        <f t="shared" si="33"/>
        <v>5.9</v>
      </c>
      <c r="AB147" s="8">
        <f t="shared" si="34"/>
        <v>7.4166666666666661</v>
      </c>
      <c r="AC147" s="8">
        <f t="shared" si="35"/>
        <v>1.5166666666666657</v>
      </c>
      <c r="AD147" s="10">
        <f t="shared" si="36"/>
        <v>31.820224719101127</v>
      </c>
      <c r="AE147" s="2">
        <f t="shared" si="37"/>
        <v>68.760000000000005</v>
      </c>
      <c r="AF147" s="9">
        <f t="shared" si="38"/>
        <v>0.74293785310734484</v>
      </c>
      <c r="AG147" s="9">
        <f t="shared" si="39"/>
        <v>0.79550561797752817</v>
      </c>
      <c r="AH147" s="70">
        <f t="shared" si="40"/>
        <v>0.40318986859645795</v>
      </c>
      <c r="AI147"/>
    </row>
    <row r="148" spans="1:35" x14ac:dyDescent="0.25">
      <c r="A148" s="22">
        <v>20</v>
      </c>
      <c r="B148" s="24">
        <v>46154</v>
      </c>
      <c r="C148" s="1" t="s">
        <v>34</v>
      </c>
      <c r="D148" s="1">
        <v>5470</v>
      </c>
      <c r="E148" s="4" t="s">
        <v>35</v>
      </c>
      <c r="F148" s="5" t="s">
        <v>36</v>
      </c>
      <c r="G148" s="22">
        <v>6369.55</v>
      </c>
      <c r="H148" s="22">
        <v>4820.5999999999995</v>
      </c>
      <c r="I148" s="22">
        <v>60</v>
      </c>
      <c r="J148" s="22"/>
      <c r="K148" s="22"/>
      <c r="L148" s="22"/>
      <c r="M148" s="22"/>
      <c r="N148" s="4" cm="1">
        <f t="array" ref="N148">_xlfn.IFS(E148="MOLINOS CHAMPION S.F",42,E148="PROPALCOL",42,E148="MASTERTEC",42,E148="GANADERIA OVIA",42,E148="ENGORDE",40,E148="DESCARTES",40,E148="REPRODUCTORA",10,E148="BAJO PESO",40,E148="CHICKENCORP",42)</f>
        <v>42</v>
      </c>
      <c r="O148" s="7">
        <f t="shared" si="28"/>
        <v>0.75681955554160019</v>
      </c>
      <c r="P148" s="22">
        <f t="shared" si="29"/>
        <v>106.15916666666666</v>
      </c>
      <c r="Q148" s="22">
        <f t="shared" si="30"/>
        <v>80.34333333333332</v>
      </c>
      <c r="R148" s="7">
        <f t="shared" si="31"/>
        <v>1</v>
      </c>
      <c r="S148" s="22">
        <v>23</v>
      </c>
      <c r="T148" s="23">
        <v>0.66319444444444442</v>
      </c>
      <c r="U148" s="23">
        <v>0.81874999999999998</v>
      </c>
      <c r="V148" s="12"/>
      <c r="W148" s="12"/>
      <c r="X148" s="2"/>
      <c r="Y148" s="2">
        <f t="shared" si="32"/>
        <v>0</v>
      </c>
      <c r="Z148" s="2"/>
      <c r="AA148" s="2">
        <f t="shared" si="33"/>
        <v>1.4285714285714286</v>
      </c>
      <c r="AB148" s="8">
        <f t="shared" si="34"/>
        <v>3.7333333333333334</v>
      </c>
      <c r="AC148" s="8">
        <f t="shared" si="35"/>
        <v>2.3047619047619046</v>
      </c>
      <c r="AD148" s="10">
        <f t="shared" si="36"/>
        <v>16.071428571428569</v>
      </c>
      <c r="AE148" s="2">
        <f t="shared" si="37"/>
        <v>56.14</v>
      </c>
      <c r="AF148" s="9">
        <f t="shared" si="38"/>
        <v>0</v>
      </c>
      <c r="AG148" s="9">
        <f t="shared" si="39"/>
        <v>0.38265306122448972</v>
      </c>
      <c r="AH148" s="70">
        <f t="shared" si="40"/>
        <v>0</v>
      </c>
      <c r="AI148"/>
    </row>
    <row r="149" spans="1:35" x14ac:dyDescent="0.25">
      <c r="A149" s="22">
        <v>20</v>
      </c>
      <c r="B149" s="24">
        <v>46154</v>
      </c>
      <c r="C149" s="1" t="s">
        <v>34</v>
      </c>
      <c r="D149" s="1">
        <v>274</v>
      </c>
      <c r="E149" s="4" t="s">
        <v>37</v>
      </c>
      <c r="F149" s="5" t="s">
        <v>36</v>
      </c>
      <c r="G149" s="22">
        <v>22728.399999999998</v>
      </c>
      <c r="H149" s="22">
        <v>17906.449999999993</v>
      </c>
      <c r="I149" s="22">
        <v>239</v>
      </c>
      <c r="J149" s="22">
        <v>75</v>
      </c>
      <c r="K149" s="22" t="s">
        <v>50</v>
      </c>
      <c r="L149" s="22"/>
      <c r="M149" s="22"/>
      <c r="N149" s="4" cm="1">
        <f t="array" ref="N149">_xlfn.IFS(E149="MOLINOS CHAMPION S.F",42,E149="PROPALCOL",42,E149="MASTERTEC",42,E149="GANADERIA OVIA",42,E149="ENGORDE",40,E149="DESCARTES",40,E149="REPRODUCTORA",10,E149="BAJO PESO",40,E149="CHICKENCORP",42)</f>
        <v>40</v>
      </c>
      <c r="O149" s="7">
        <f t="shared" si="28"/>
        <v>0.7878447229017439</v>
      </c>
      <c r="P149" s="22">
        <f t="shared" si="29"/>
        <v>95.09790794979078</v>
      </c>
      <c r="Q149" s="22">
        <f t="shared" si="30"/>
        <v>74.922384937238462</v>
      </c>
      <c r="R149" s="7">
        <f t="shared" si="31"/>
        <v>0.68619246861924688</v>
      </c>
      <c r="S149" s="22">
        <v>23</v>
      </c>
      <c r="T149" s="23">
        <v>0.33333333333333331</v>
      </c>
      <c r="U149" s="23">
        <v>0.70763888888888893</v>
      </c>
      <c r="V149" s="12"/>
      <c r="W149" s="12"/>
      <c r="X149" s="2"/>
      <c r="Y149" s="2">
        <f t="shared" si="32"/>
        <v>0</v>
      </c>
      <c r="Z149" s="2">
        <v>1</v>
      </c>
      <c r="AA149" s="2">
        <f t="shared" si="33"/>
        <v>5.9749999999999996</v>
      </c>
      <c r="AB149" s="8">
        <f t="shared" si="34"/>
        <v>7.9833333333333325</v>
      </c>
      <c r="AC149" s="8">
        <f t="shared" si="35"/>
        <v>2.0083333333333329</v>
      </c>
      <c r="AD149" s="10">
        <f t="shared" si="36"/>
        <v>29.937369519832988</v>
      </c>
      <c r="AE149" s="2">
        <f t="shared" si="37"/>
        <v>97.52</v>
      </c>
      <c r="AF149" s="9">
        <f t="shared" si="38"/>
        <v>0.66387726638772671</v>
      </c>
      <c r="AG149" s="9">
        <f t="shared" si="39"/>
        <v>0.74843423799582465</v>
      </c>
      <c r="AH149" s="70">
        <f t="shared" si="40"/>
        <v>0.34094740611979285</v>
      </c>
      <c r="AI149"/>
    </row>
    <row r="150" spans="1:35" x14ac:dyDescent="0.25">
      <c r="A150" s="22">
        <v>20</v>
      </c>
      <c r="B150" s="24">
        <v>46154</v>
      </c>
      <c r="C150" s="1" t="s">
        <v>38</v>
      </c>
      <c r="D150" s="6"/>
      <c r="E150" s="4" t="s">
        <v>39</v>
      </c>
      <c r="F150" s="5" t="s">
        <v>42</v>
      </c>
      <c r="G150" s="22">
        <v>2313.4</v>
      </c>
      <c r="H150" s="22">
        <v>1720.6999999999998</v>
      </c>
      <c r="I150" s="22">
        <v>11</v>
      </c>
      <c r="J150" s="22"/>
      <c r="K150" s="22"/>
      <c r="L150" s="22"/>
      <c r="M150" s="22"/>
      <c r="N150" s="4" cm="1">
        <f t="array" ref="N150">_xlfn.IFS(E150="MOLINOS CHAMPION S.F",42,E150="PROPALCOL",42,E150="MASTERTEC",42,E150="GANADERIA OVIA",42,E150="ENGORDE",40,E150="DESCARTES",40,E150="REPRODUCTORA",10,E150="BAJO PESO",40,E150="CHICKENCORP",42)</f>
        <v>10</v>
      </c>
      <c r="O150" s="7">
        <f t="shared" si="28"/>
        <v>0.74379700873173671</v>
      </c>
      <c r="P150" s="22">
        <f t="shared" si="29"/>
        <v>210.30909090909091</v>
      </c>
      <c r="Q150" s="22">
        <f t="shared" si="30"/>
        <v>156.42727272727271</v>
      </c>
      <c r="R150" s="7">
        <f t="shared" si="31"/>
        <v>1</v>
      </c>
      <c r="S150" s="22">
        <v>23</v>
      </c>
      <c r="T150" s="23">
        <v>0.79861111111111116</v>
      </c>
      <c r="U150" s="23">
        <v>0.84722222222222221</v>
      </c>
      <c r="V150" s="12"/>
      <c r="W150" s="12"/>
      <c r="X150" s="2"/>
      <c r="Y150" s="2">
        <f t="shared" si="32"/>
        <v>0</v>
      </c>
      <c r="Z150" s="2"/>
      <c r="AA150" s="2">
        <f t="shared" si="33"/>
        <v>1.1000000000000001</v>
      </c>
      <c r="AB150" s="8">
        <f t="shared" si="34"/>
        <v>1.1666666666666667</v>
      </c>
      <c r="AC150" s="8">
        <f t="shared" si="35"/>
        <v>6.6666666666666652E-2</v>
      </c>
      <c r="AD150" s="10">
        <f t="shared" si="36"/>
        <v>9.4285714285714288</v>
      </c>
      <c r="AE150" s="2">
        <f t="shared" si="37"/>
        <v>64.13</v>
      </c>
      <c r="AF150" s="9">
        <f t="shared" si="38"/>
        <v>0.93939393939393945</v>
      </c>
      <c r="AG150" s="9">
        <f t="shared" si="39"/>
        <v>0.94285714285714284</v>
      </c>
      <c r="AH150" s="70">
        <f t="shared" si="40"/>
        <v>0.88571428571428579</v>
      </c>
      <c r="AI150"/>
    </row>
    <row r="151" spans="1:35" x14ac:dyDescent="0.25">
      <c r="A151" s="22">
        <v>20</v>
      </c>
      <c r="B151" s="24">
        <v>46155</v>
      </c>
      <c r="C151" s="1" t="s">
        <v>34</v>
      </c>
      <c r="D151" s="1">
        <v>5470</v>
      </c>
      <c r="E151" s="4" t="s">
        <v>35</v>
      </c>
      <c r="F151" s="5" t="s">
        <v>36</v>
      </c>
      <c r="G151" s="22">
        <v>6292.1499999999987</v>
      </c>
      <c r="H151" s="22">
        <v>4664.3000000000011</v>
      </c>
      <c r="I151" s="22">
        <v>60</v>
      </c>
      <c r="J151" s="22"/>
      <c r="K151" s="22"/>
      <c r="L151" s="22"/>
      <c r="M151" s="22"/>
      <c r="N151" s="4" cm="1">
        <f t="array" ref="N151">_xlfn.IFS(E151="MOLINOS CHAMPION S.F",42,E151="PROPALCOL",42,E151="MASTERTEC",42,E151="GANADERIA OVIA",42,E151="ENGORDE",40,E151="DESCARTES",40,E151="REPRODUCTORA",10,E151="BAJO PESO",40,E151="CHICKENCORP",42)</f>
        <v>42</v>
      </c>
      <c r="O151" s="7">
        <f t="shared" si="28"/>
        <v>0.7412887486789097</v>
      </c>
      <c r="P151" s="22">
        <f t="shared" si="29"/>
        <v>104.86916666666664</v>
      </c>
      <c r="Q151" s="22">
        <f t="shared" si="30"/>
        <v>77.738333333333358</v>
      </c>
      <c r="R151" s="7">
        <f t="shared" si="31"/>
        <v>1</v>
      </c>
      <c r="S151" s="22">
        <v>22</v>
      </c>
      <c r="T151" s="23">
        <v>0.68472222222222223</v>
      </c>
      <c r="U151" s="23">
        <v>0.78472222222222221</v>
      </c>
      <c r="V151" s="12"/>
      <c r="W151" s="12"/>
      <c r="X151" s="2"/>
      <c r="Y151" s="2">
        <f t="shared" si="32"/>
        <v>0</v>
      </c>
      <c r="Z151" s="2"/>
      <c r="AA151" s="2">
        <f t="shared" si="33"/>
        <v>1.4285714285714286</v>
      </c>
      <c r="AB151" s="8">
        <f t="shared" si="34"/>
        <v>2.4</v>
      </c>
      <c r="AC151" s="8">
        <f t="shared" si="35"/>
        <v>0.97142857142857131</v>
      </c>
      <c r="AD151" s="10">
        <f t="shared" si="36"/>
        <v>25</v>
      </c>
      <c r="AE151" s="2">
        <f t="shared" si="37"/>
        <v>88.34</v>
      </c>
      <c r="AF151" s="9">
        <f t="shared" si="38"/>
        <v>0.32000000000000012</v>
      </c>
      <c r="AG151" s="9">
        <f t="shared" si="39"/>
        <v>0.59523809523809523</v>
      </c>
      <c r="AH151" s="70">
        <f t="shared" si="40"/>
        <v>0.19047619047619055</v>
      </c>
      <c r="AI151"/>
    </row>
    <row r="152" spans="1:35" x14ac:dyDescent="0.25">
      <c r="A152" s="22">
        <v>20</v>
      </c>
      <c r="B152" s="24">
        <v>46155</v>
      </c>
      <c r="C152" s="1" t="s">
        <v>34</v>
      </c>
      <c r="D152" s="1">
        <v>274</v>
      </c>
      <c r="E152" s="4" t="s">
        <v>37</v>
      </c>
      <c r="F152" s="5" t="s">
        <v>36</v>
      </c>
      <c r="G152" s="22">
        <v>17782.299999999996</v>
      </c>
      <c r="H152" s="22">
        <v>13766.45</v>
      </c>
      <c r="I152" s="22">
        <v>234</v>
      </c>
      <c r="J152" s="22">
        <v>130</v>
      </c>
      <c r="K152" s="22" t="s">
        <v>50</v>
      </c>
      <c r="L152" s="22"/>
      <c r="M152" s="22"/>
      <c r="N152" s="4" cm="1">
        <f t="array" ref="N152">_xlfn.IFS(E152="MOLINOS CHAMPION S.F",42,E152="PROPALCOL",42,E152="MASTERTEC",42,E152="GANADERIA OVIA",42,E152="ENGORDE",40,E152="DESCARTES",40,E152="REPRODUCTORA",10,E152="BAJO PESO",40,E152="CHICKENCORP",42)</f>
        <v>40</v>
      </c>
      <c r="O152" s="7">
        <f t="shared" si="28"/>
        <v>0.77416588405324416</v>
      </c>
      <c r="P152" s="22">
        <f t="shared" si="29"/>
        <v>75.992735042735021</v>
      </c>
      <c r="Q152" s="22">
        <f t="shared" si="30"/>
        <v>58.830982905982907</v>
      </c>
      <c r="R152" s="7">
        <f t="shared" si="31"/>
        <v>0.44444444444444442</v>
      </c>
      <c r="S152" s="22">
        <v>24</v>
      </c>
      <c r="T152" s="23">
        <v>0.35416666666666669</v>
      </c>
      <c r="U152" s="23">
        <v>0.69791666666666663</v>
      </c>
      <c r="V152" s="12"/>
      <c r="W152" s="12"/>
      <c r="X152" s="2"/>
      <c r="Y152" s="2">
        <f t="shared" si="32"/>
        <v>0</v>
      </c>
      <c r="Z152" s="2">
        <v>1</v>
      </c>
      <c r="AA152" s="2">
        <f t="shared" si="33"/>
        <v>5.85</v>
      </c>
      <c r="AB152" s="8">
        <f t="shared" si="34"/>
        <v>7.25</v>
      </c>
      <c r="AC152" s="8">
        <f t="shared" si="35"/>
        <v>1.4000000000000004</v>
      </c>
      <c r="AD152" s="10">
        <f t="shared" si="36"/>
        <v>32.275862068965516</v>
      </c>
      <c r="AE152" s="2">
        <f t="shared" si="37"/>
        <v>79.12</v>
      </c>
      <c r="AF152" s="9">
        <f t="shared" si="38"/>
        <v>0.76068376068376065</v>
      </c>
      <c r="AG152" s="9">
        <f t="shared" si="39"/>
        <v>0.80689655172413788</v>
      </c>
      <c r="AH152" s="70">
        <f t="shared" si="40"/>
        <v>0.27279693486590034</v>
      </c>
      <c r="AI152"/>
    </row>
    <row r="153" spans="1:35" x14ac:dyDescent="0.25">
      <c r="A153" s="22">
        <v>20</v>
      </c>
      <c r="B153" s="24">
        <v>46156</v>
      </c>
      <c r="C153" s="1" t="s">
        <v>34</v>
      </c>
      <c r="D153" s="1">
        <v>274</v>
      </c>
      <c r="E153" s="4" t="s">
        <v>37</v>
      </c>
      <c r="F153" s="5" t="s">
        <v>36</v>
      </c>
      <c r="G153" s="22">
        <v>24170.100000000002</v>
      </c>
      <c r="H153" s="22">
        <v>19503.349999999995</v>
      </c>
      <c r="I153" s="22">
        <v>231</v>
      </c>
      <c r="J153" s="22">
        <v>10</v>
      </c>
      <c r="K153" s="22" t="s">
        <v>50</v>
      </c>
      <c r="L153" s="22"/>
      <c r="M153" s="22"/>
      <c r="N153" s="4" cm="1">
        <f t="array" ref="N153">_xlfn.IFS(E153="MOLINOS CHAMPION S.F",42,E153="PROPALCOL",42,E153="MASTERTEC",42,E153="GANADERIA OVIA",42,E153="ENGORDE",40,E153="DESCARTES",40,E153="REPRODUCTORA",10,E153="BAJO PESO",40,E153="CHICKENCORP",42)</f>
        <v>40</v>
      </c>
      <c r="O153" s="7">
        <f t="shared" si="28"/>
        <v>0.80692053404826591</v>
      </c>
      <c r="P153" s="22">
        <f t="shared" si="29"/>
        <v>104.63246753246754</v>
      </c>
      <c r="Q153" s="22">
        <f t="shared" si="30"/>
        <v>84.430086580086552</v>
      </c>
      <c r="R153" s="7">
        <f t="shared" si="31"/>
        <v>0.95670995670995673</v>
      </c>
      <c r="S153" s="22">
        <v>24</v>
      </c>
      <c r="T153" s="23">
        <v>0.5625</v>
      </c>
      <c r="U153" s="23">
        <v>0.83125000000000004</v>
      </c>
      <c r="V153" s="12"/>
      <c r="W153" s="12"/>
      <c r="X153" s="2"/>
      <c r="Y153" s="2">
        <f t="shared" si="32"/>
        <v>0</v>
      </c>
      <c r="Z153" s="2">
        <v>1</v>
      </c>
      <c r="AA153" s="2">
        <f t="shared" si="33"/>
        <v>5.7750000000000004</v>
      </c>
      <c r="AB153" s="8">
        <f t="shared" si="34"/>
        <v>5.45</v>
      </c>
      <c r="AC153" s="8">
        <f t="shared" si="35"/>
        <v>0</v>
      </c>
      <c r="AD153" s="10">
        <f t="shared" si="36"/>
        <v>42.38532110091743</v>
      </c>
      <c r="AE153" s="2">
        <f t="shared" si="37"/>
        <v>149.11000000000001</v>
      </c>
      <c r="AF153" s="9">
        <f t="shared" si="38"/>
        <v>1</v>
      </c>
      <c r="AG153" s="9">
        <f t="shared" si="39"/>
        <v>1</v>
      </c>
      <c r="AH153" s="70">
        <f t="shared" si="40"/>
        <v>0.95670995670995673</v>
      </c>
      <c r="AI153"/>
    </row>
    <row r="154" spans="1:35" x14ac:dyDescent="0.25">
      <c r="A154" s="22">
        <v>20</v>
      </c>
      <c r="B154" s="24">
        <v>46158</v>
      </c>
      <c r="C154" s="1" t="s">
        <v>34</v>
      </c>
      <c r="D154" s="1">
        <v>274</v>
      </c>
      <c r="E154" s="4" t="s">
        <v>37</v>
      </c>
      <c r="F154" s="5" t="s">
        <v>36</v>
      </c>
      <c r="G154" s="22">
        <v>28454.099999999995</v>
      </c>
      <c r="H154" s="22">
        <v>22606.19999999999</v>
      </c>
      <c r="I154" s="22">
        <v>295</v>
      </c>
      <c r="J154" s="22">
        <v>75</v>
      </c>
      <c r="K154" s="22" t="s">
        <v>50</v>
      </c>
      <c r="L154" s="22"/>
      <c r="M154" s="22"/>
      <c r="N154" s="4" cm="1">
        <f t="array" ref="N154">_xlfn.IFS(E154="MOLINOS CHAMPION S.F",42,E154="PROPALCOL",42,E154="MASTERTEC",42,E154="GANADERIA OVIA",42,E154="ENGORDE",40,E154="DESCARTES",40,E154="REPRODUCTORA",10,E154="BAJO PESO",40,E154="CHICKENCORP",42)</f>
        <v>40</v>
      </c>
      <c r="O154" s="7">
        <f t="shared" si="28"/>
        <v>0.79447953019072803</v>
      </c>
      <c r="P154" s="22">
        <f t="shared" si="29"/>
        <v>96.454576271186426</v>
      </c>
      <c r="Q154" s="22">
        <f t="shared" si="30"/>
        <v>76.631186440677936</v>
      </c>
      <c r="R154" s="7">
        <f t="shared" si="31"/>
        <v>0.74576271186440679</v>
      </c>
      <c r="S154" s="22">
        <v>36</v>
      </c>
      <c r="T154" s="23">
        <v>0.33680555555555558</v>
      </c>
      <c r="U154" s="23">
        <v>0.65138888888888891</v>
      </c>
      <c r="V154" s="12"/>
      <c r="W154" s="12"/>
      <c r="X154" s="2"/>
      <c r="Y154" s="2">
        <f t="shared" si="32"/>
        <v>0</v>
      </c>
      <c r="Z154" s="2">
        <v>1</v>
      </c>
      <c r="AA154" s="2">
        <f t="shared" si="33"/>
        <v>7.375</v>
      </c>
      <c r="AB154" s="8">
        <f t="shared" si="34"/>
        <v>6.55</v>
      </c>
      <c r="AC154" s="8">
        <f t="shared" si="35"/>
        <v>0</v>
      </c>
      <c r="AD154" s="10">
        <f t="shared" si="36"/>
        <v>45.038167938931302</v>
      </c>
      <c r="AE154" s="2">
        <f t="shared" si="37"/>
        <v>95.87</v>
      </c>
      <c r="AF154" s="9">
        <f t="shared" si="38"/>
        <v>1</v>
      </c>
      <c r="AG154" s="9">
        <f t="shared" si="39"/>
        <v>1</v>
      </c>
      <c r="AH154" s="70">
        <f t="shared" si="40"/>
        <v>0.74576271186440679</v>
      </c>
      <c r="AI154"/>
    </row>
    <row r="155" spans="1:35" x14ac:dyDescent="0.25">
      <c r="A155" s="22">
        <v>21</v>
      </c>
      <c r="B155" s="24">
        <v>46160</v>
      </c>
      <c r="C155" s="1" t="s">
        <v>34</v>
      </c>
      <c r="D155" s="1">
        <v>5470</v>
      </c>
      <c r="E155" s="4" t="s">
        <v>35</v>
      </c>
      <c r="F155" s="5" t="s">
        <v>36</v>
      </c>
      <c r="G155" s="22">
        <v>13419.6</v>
      </c>
      <c r="H155" s="22">
        <v>10182.550000000001</v>
      </c>
      <c r="I155" s="22">
        <v>120</v>
      </c>
      <c r="J155" s="22"/>
      <c r="K155" s="22"/>
      <c r="L155" s="22"/>
      <c r="M155" s="22"/>
      <c r="N155" s="4" cm="1">
        <f t="array" ref="N155">_xlfn.IFS(E155="MOLINOS CHAMPION S.F",42,E155="PROPALCOL",42,E155="MASTERTEC",42,E155="GANADERIA OVIA",42,E155="ENGORDE",40,E155="DESCARTES",40,E155="REPRODUCTORA",10,E155="BAJO PESO",40,E155="CHICKENCORP",42)</f>
        <v>42</v>
      </c>
      <c r="O155" s="7">
        <f t="shared" si="28"/>
        <v>0.75878193090703161</v>
      </c>
      <c r="P155" s="22">
        <f t="shared" si="29"/>
        <v>111.83</v>
      </c>
      <c r="Q155" s="22">
        <f t="shared" si="30"/>
        <v>84.854583333333338</v>
      </c>
      <c r="R155" s="7">
        <f t="shared" si="31"/>
        <v>1</v>
      </c>
      <c r="S155" s="22">
        <v>31</v>
      </c>
      <c r="T155" s="23">
        <v>0.63888888888888884</v>
      </c>
      <c r="U155" s="23">
        <v>0.77083333333333337</v>
      </c>
      <c r="V155" s="12"/>
      <c r="W155" s="12"/>
      <c r="X155" s="2"/>
      <c r="Y155" s="2">
        <f t="shared" si="32"/>
        <v>0</v>
      </c>
      <c r="Z155" s="2"/>
      <c r="AA155" s="2">
        <f t="shared" si="33"/>
        <v>2.8571428571428572</v>
      </c>
      <c r="AB155" s="8">
        <f t="shared" si="34"/>
        <v>3.1666666666666665</v>
      </c>
      <c r="AC155" s="8">
        <f t="shared" si="35"/>
        <v>0.30952380952380931</v>
      </c>
      <c r="AD155" s="10">
        <f t="shared" si="36"/>
        <v>37.894736842105267</v>
      </c>
      <c r="AE155" s="2">
        <f t="shared" si="37"/>
        <v>103.73</v>
      </c>
      <c r="AF155" s="9">
        <f t="shared" si="38"/>
        <v>0.89166666666666672</v>
      </c>
      <c r="AG155" s="9">
        <f t="shared" si="39"/>
        <v>0.90225563909774442</v>
      </c>
      <c r="AH155" s="70">
        <f t="shared" si="40"/>
        <v>0.80451127819548884</v>
      </c>
      <c r="AI155"/>
    </row>
    <row r="156" spans="1:35" x14ac:dyDescent="0.25">
      <c r="A156" s="22">
        <v>21</v>
      </c>
      <c r="B156" s="24">
        <v>46160</v>
      </c>
      <c r="C156" s="1" t="s">
        <v>34</v>
      </c>
      <c r="D156" s="1">
        <v>274</v>
      </c>
      <c r="E156" s="4" t="s">
        <v>37</v>
      </c>
      <c r="F156" s="5" t="s">
        <v>36</v>
      </c>
      <c r="G156" s="22">
        <v>23425.099999999995</v>
      </c>
      <c r="H156" s="22">
        <v>18690.05000000001</v>
      </c>
      <c r="I156" s="22">
        <v>230</v>
      </c>
      <c r="J156" s="22">
        <v>15</v>
      </c>
      <c r="K156" s="22" t="s">
        <v>50</v>
      </c>
      <c r="L156" s="22"/>
      <c r="M156" s="22"/>
      <c r="N156" s="4" cm="1">
        <f t="array" ref="N156">_xlfn.IFS(E156="MOLINOS CHAMPION S.F",42,E156="PROPALCOL",42,E156="MASTERTEC",42,E156="GANADERIA OVIA",42,E156="ENGORDE",40,E156="DESCARTES",40,E156="REPRODUCTORA",10,E156="BAJO PESO",40,E156="CHICKENCORP",42)</f>
        <v>40</v>
      </c>
      <c r="O156" s="7">
        <f t="shared" si="28"/>
        <v>0.79786425671608718</v>
      </c>
      <c r="P156" s="22">
        <f t="shared" si="29"/>
        <v>101.84826086956519</v>
      </c>
      <c r="Q156" s="22">
        <f t="shared" si="30"/>
        <v>81.26108695652178</v>
      </c>
      <c r="R156" s="7">
        <f t="shared" si="31"/>
        <v>0.93478260869565222</v>
      </c>
      <c r="S156" s="22">
        <v>22</v>
      </c>
      <c r="T156" s="23">
        <v>0.33333333333333331</v>
      </c>
      <c r="U156" s="23">
        <v>0.65972222222222221</v>
      </c>
      <c r="V156" s="12"/>
      <c r="W156" s="23"/>
      <c r="X156" s="2"/>
      <c r="Y156" s="2">
        <f t="shared" si="32"/>
        <v>0</v>
      </c>
      <c r="Z156" s="2">
        <v>1</v>
      </c>
      <c r="AA156" s="2">
        <f t="shared" si="33"/>
        <v>5.75</v>
      </c>
      <c r="AB156" s="8">
        <f t="shared" si="34"/>
        <v>6.833333333333333</v>
      </c>
      <c r="AC156" s="8">
        <f t="shared" si="35"/>
        <v>1.083333333333333</v>
      </c>
      <c r="AD156" s="10">
        <f t="shared" si="36"/>
        <v>33.658536585365852</v>
      </c>
      <c r="AE156" s="2">
        <f t="shared" si="37"/>
        <v>124.32</v>
      </c>
      <c r="AF156" s="9">
        <f t="shared" si="38"/>
        <v>0.81159420289855078</v>
      </c>
      <c r="AG156" s="9">
        <f t="shared" si="39"/>
        <v>0.84146341463414631</v>
      </c>
      <c r="AH156" s="70">
        <f t="shared" si="40"/>
        <v>0.63838812301166492</v>
      </c>
      <c r="AI156"/>
    </row>
    <row r="157" spans="1:35" x14ac:dyDescent="0.25">
      <c r="A157" s="22">
        <v>21</v>
      </c>
      <c r="B157" s="24">
        <v>46161</v>
      </c>
      <c r="C157" s="1" t="s">
        <v>38</v>
      </c>
      <c r="D157" s="6"/>
      <c r="E157" s="4" t="s">
        <v>39</v>
      </c>
      <c r="F157" s="5" t="s">
        <v>42</v>
      </c>
      <c r="G157" s="22">
        <v>2728.6</v>
      </c>
      <c r="H157" s="22">
        <v>2095.2000000000003</v>
      </c>
      <c r="I157" s="22">
        <v>12</v>
      </c>
      <c r="J157" s="22"/>
      <c r="K157" s="22"/>
      <c r="L157" s="22"/>
      <c r="M157" s="22"/>
      <c r="N157" s="4" cm="1">
        <f t="array" ref="N157">_xlfn.IFS(E157="MOLINOS CHAMPION S.F",42,E157="PROPALCOL",42,E157="MASTERTEC",42,E157="GANADERIA OVIA",42,E157="ENGORDE",40,E157="DESCARTES",40,E157="REPRODUCTORA",10,E157="BAJO PESO",40,E157="CHICKENCORP",42)</f>
        <v>10</v>
      </c>
      <c r="O157" s="7">
        <f t="shared" si="28"/>
        <v>0.76786630506486853</v>
      </c>
      <c r="P157" s="22">
        <f t="shared" si="29"/>
        <v>227.38333333333333</v>
      </c>
      <c r="Q157" s="22">
        <f t="shared" si="30"/>
        <v>174.60000000000002</v>
      </c>
      <c r="R157" s="7">
        <f t="shared" si="31"/>
        <v>1</v>
      </c>
      <c r="S157" s="22">
        <v>22</v>
      </c>
      <c r="T157" s="23">
        <v>0.70486111111111116</v>
      </c>
      <c r="U157" s="23">
        <v>0.73611111111111116</v>
      </c>
      <c r="V157" s="23"/>
      <c r="W157" s="23"/>
      <c r="X157" s="2"/>
      <c r="Y157" s="2">
        <f t="shared" si="32"/>
        <v>0</v>
      </c>
      <c r="Z157" s="2"/>
      <c r="AA157" s="2">
        <f t="shared" si="33"/>
        <v>1.2</v>
      </c>
      <c r="AB157" s="8">
        <f t="shared" si="34"/>
        <v>0.75</v>
      </c>
      <c r="AC157" s="8">
        <f t="shared" si="35"/>
        <v>0</v>
      </c>
      <c r="AD157" s="10">
        <f t="shared" si="36"/>
        <v>16</v>
      </c>
      <c r="AE157" s="2">
        <f t="shared" si="37"/>
        <v>126.98</v>
      </c>
      <c r="AF157" s="9">
        <f t="shared" si="38"/>
        <v>1</v>
      </c>
      <c r="AG157" s="9">
        <f t="shared" si="39"/>
        <v>1</v>
      </c>
      <c r="AH157" s="70">
        <f t="shared" si="40"/>
        <v>1</v>
      </c>
      <c r="AI157"/>
    </row>
    <row r="158" spans="1:35" x14ac:dyDescent="0.25">
      <c r="A158" s="22">
        <v>21</v>
      </c>
      <c r="B158" s="24">
        <v>46161</v>
      </c>
      <c r="C158" s="1" t="s">
        <v>34</v>
      </c>
      <c r="D158" s="1">
        <v>5470</v>
      </c>
      <c r="E158" s="4" t="s">
        <v>35</v>
      </c>
      <c r="F158" s="5" t="s">
        <v>36</v>
      </c>
      <c r="G158" s="22">
        <v>7163.6499999999987</v>
      </c>
      <c r="H158" s="22">
        <v>5471.4030000000021</v>
      </c>
      <c r="I158" s="22">
        <v>60</v>
      </c>
      <c r="J158" s="22"/>
      <c r="K158" s="22"/>
      <c r="L158" s="22"/>
      <c r="M158" s="22"/>
      <c r="N158" s="4" cm="1">
        <f t="array" ref="N158">_xlfn.IFS(E158="MOLINOS CHAMPION S.F",42,E158="PROPALCOL",42,E158="MASTERTEC",42,E158="GANADERIA OVIA",42,E158="ENGORDE",40,E158="DESCARTES",40,E158="REPRODUCTORA",10,E158="BAJO PESO",40,E158="CHICKENCORP",42)</f>
        <v>42</v>
      </c>
      <c r="O158" s="7">
        <f t="shared" si="28"/>
        <v>0.76377307657409321</v>
      </c>
      <c r="P158" s="22">
        <f t="shared" si="29"/>
        <v>119.39416666666665</v>
      </c>
      <c r="Q158" s="22">
        <f t="shared" si="30"/>
        <v>91.190050000000028</v>
      </c>
      <c r="R158" s="7">
        <f t="shared" si="31"/>
        <v>1</v>
      </c>
      <c r="S158" s="22">
        <v>23</v>
      </c>
      <c r="T158" s="23">
        <v>0.68055555555555558</v>
      </c>
      <c r="U158" s="23">
        <v>0.75694444444444442</v>
      </c>
      <c r="V158" s="12"/>
      <c r="W158" s="12"/>
      <c r="X158" s="2"/>
      <c r="Y158" s="2">
        <f t="shared" si="32"/>
        <v>0</v>
      </c>
      <c r="Z158" s="2"/>
      <c r="AA158" s="2">
        <f t="shared" si="33"/>
        <v>1.4285714285714286</v>
      </c>
      <c r="AB158" s="8">
        <f t="shared" si="34"/>
        <v>1.8333333333333335</v>
      </c>
      <c r="AC158" s="8">
        <f t="shared" si="35"/>
        <v>0.40476190476190488</v>
      </c>
      <c r="AD158" s="10">
        <f t="shared" si="36"/>
        <v>32.727272727272727</v>
      </c>
      <c r="AE158" s="2">
        <f t="shared" si="37"/>
        <v>129.76</v>
      </c>
      <c r="AF158" s="9">
        <f t="shared" si="38"/>
        <v>0.71666666666666656</v>
      </c>
      <c r="AG158" s="9">
        <f t="shared" si="39"/>
        <v>0.77922077922077926</v>
      </c>
      <c r="AH158" s="70">
        <f t="shared" si="40"/>
        <v>0.55844155844155841</v>
      </c>
      <c r="AI158"/>
    </row>
    <row r="159" spans="1:35" x14ac:dyDescent="0.25">
      <c r="A159" s="22">
        <v>21</v>
      </c>
      <c r="B159" s="24">
        <v>46161</v>
      </c>
      <c r="C159" s="1" t="s">
        <v>34</v>
      </c>
      <c r="D159" s="1">
        <v>274</v>
      </c>
      <c r="E159" s="4" t="s">
        <v>37</v>
      </c>
      <c r="F159" s="5" t="s">
        <v>36</v>
      </c>
      <c r="G159" s="22">
        <v>22153.75</v>
      </c>
      <c r="H159" s="22">
        <v>17005.45</v>
      </c>
      <c r="I159" s="22">
        <v>241</v>
      </c>
      <c r="J159" s="22">
        <v>70</v>
      </c>
      <c r="K159" s="22" t="s">
        <v>50</v>
      </c>
      <c r="L159" s="22"/>
      <c r="M159" s="22"/>
      <c r="N159" s="4" cm="1">
        <f t="array" ref="N159">_xlfn.IFS(E159="MOLINOS CHAMPION S.F",42,E159="PROPALCOL",42,E159="MASTERTEC",42,E159="GANADERIA OVIA",42,E159="ENGORDE",40,E159="DESCARTES",40,E159="REPRODUCTORA",10,E159="BAJO PESO",40,E159="CHICKENCORP",42)</f>
        <v>40</v>
      </c>
      <c r="O159" s="7">
        <f t="shared" si="28"/>
        <v>0.76761044969813241</v>
      </c>
      <c r="P159" s="22">
        <f t="shared" si="29"/>
        <v>91.924273858921168</v>
      </c>
      <c r="Q159" s="22">
        <f t="shared" si="30"/>
        <v>70.562033195020746</v>
      </c>
      <c r="R159" s="7">
        <f t="shared" si="31"/>
        <v>0.70954356846473032</v>
      </c>
      <c r="S159" s="22">
        <v>22</v>
      </c>
      <c r="T159" s="23">
        <v>0.29166666666666669</v>
      </c>
      <c r="U159" s="23">
        <v>0.70486111111111116</v>
      </c>
      <c r="V159" s="12"/>
      <c r="W159" s="12"/>
      <c r="X159" s="2"/>
      <c r="Y159" s="2">
        <f t="shared" si="32"/>
        <v>0</v>
      </c>
      <c r="Z159" s="2">
        <v>1</v>
      </c>
      <c r="AA159" s="2">
        <f t="shared" si="33"/>
        <v>6.0250000000000004</v>
      </c>
      <c r="AB159" s="8">
        <f t="shared" si="34"/>
        <v>8.9166666666666661</v>
      </c>
      <c r="AC159" s="8">
        <f t="shared" si="35"/>
        <v>2.8916666666666657</v>
      </c>
      <c r="AD159" s="10">
        <f t="shared" si="36"/>
        <v>27.028037383177573</v>
      </c>
      <c r="AE159" s="2">
        <f t="shared" si="37"/>
        <v>86.69</v>
      </c>
      <c r="AF159" s="9">
        <f t="shared" si="38"/>
        <v>0.5200553250345783</v>
      </c>
      <c r="AG159" s="9">
        <f t="shared" si="39"/>
        <v>0.67570093457943936</v>
      </c>
      <c r="AH159" s="70">
        <f t="shared" si="40"/>
        <v>0.24933493620816705</v>
      </c>
      <c r="AI159"/>
    </row>
    <row r="160" spans="1:35" x14ac:dyDescent="0.25">
      <c r="A160" s="22">
        <v>21</v>
      </c>
      <c r="B160" s="24">
        <v>46162</v>
      </c>
      <c r="C160" s="1" t="s">
        <v>34</v>
      </c>
      <c r="D160" s="1">
        <v>5470</v>
      </c>
      <c r="E160" s="4" t="s">
        <v>35</v>
      </c>
      <c r="F160" s="5" t="s">
        <v>36</v>
      </c>
      <c r="G160" s="22">
        <v>6989.2999999999993</v>
      </c>
      <c r="H160" s="22">
        <v>5385.5000000000009</v>
      </c>
      <c r="I160" s="22">
        <v>60</v>
      </c>
      <c r="J160" s="22"/>
      <c r="K160" s="22"/>
      <c r="L160" s="22"/>
      <c r="M160" s="22"/>
      <c r="N160" s="4" cm="1">
        <f t="array" ref="N160">_xlfn.IFS(E160="MOLINOS CHAMPION S.F",42,E160="PROPALCOL",42,E160="MASTERTEC",42,E160="GANADERIA OVIA",42,E160="ENGORDE",40,E160="DESCARTES",40,E160="REPRODUCTORA",10,E160="BAJO PESO",40,E160="CHICKENCORP",42)</f>
        <v>42</v>
      </c>
      <c r="O160" s="7">
        <f t="shared" si="28"/>
        <v>0.77053496058260507</v>
      </c>
      <c r="P160" s="22">
        <f t="shared" si="29"/>
        <v>116.48833333333332</v>
      </c>
      <c r="Q160" s="22">
        <f t="shared" si="30"/>
        <v>89.758333333333354</v>
      </c>
      <c r="R160" s="7">
        <f t="shared" si="31"/>
        <v>1</v>
      </c>
      <c r="S160" s="22">
        <v>20</v>
      </c>
      <c r="T160" s="23">
        <v>0.56597222222222221</v>
      </c>
      <c r="U160" s="23">
        <v>0.6875</v>
      </c>
      <c r="V160" s="23"/>
      <c r="W160" s="12"/>
      <c r="X160" s="2"/>
      <c r="Y160" s="2">
        <f t="shared" si="32"/>
        <v>0</v>
      </c>
      <c r="Z160" s="2"/>
      <c r="AA160" s="2">
        <f t="shared" si="33"/>
        <v>1.4285714285714286</v>
      </c>
      <c r="AB160" s="8">
        <f t="shared" si="34"/>
        <v>2.9166666666666665</v>
      </c>
      <c r="AC160" s="8">
        <f t="shared" si="35"/>
        <v>1.4880952380952379</v>
      </c>
      <c r="AD160" s="10">
        <f t="shared" si="36"/>
        <v>20.571428571428573</v>
      </c>
      <c r="AE160" s="2">
        <f t="shared" si="37"/>
        <v>92.32</v>
      </c>
      <c r="AF160" s="9">
        <f t="shared" si="38"/>
        <v>0</v>
      </c>
      <c r="AG160" s="9">
        <f t="shared" si="39"/>
        <v>0.48979591836734698</v>
      </c>
      <c r="AH160" s="70">
        <f t="shared" si="40"/>
        <v>0</v>
      </c>
      <c r="AI160"/>
    </row>
    <row r="161" spans="1:35" x14ac:dyDescent="0.25">
      <c r="A161" s="22">
        <v>21</v>
      </c>
      <c r="B161" s="24">
        <v>46162</v>
      </c>
      <c r="C161" s="1" t="s">
        <v>34</v>
      </c>
      <c r="D161" s="1">
        <v>274</v>
      </c>
      <c r="E161" s="4" t="s">
        <v>37</v>
      </c>
      <c r="F161" s="5" t="s">
        <v>36</v>
      </c>
      <c r="G161" s="22">
        <v>19511.852999999999</v>
      </c>
      <c r="H161" s="22">
        <v>15751.349999999999</v>
      </c>
      <c r="I161" s="22">
        <v>175</v>
      </c>
      <c r="J161" s="22">
        <v>5</v>
      </c>
      <c r="K161" s="22" t="s">
        <v>50</v>
      </c>
      <c r="L161" s="22"/>
      <c r="M161" s="22"/>
      <c r="N161" s="4" cm="1">
        <f t="array" ref="N161">_xlfn.IFS(E161="MOLINOS CHAMPION S.F",42,E161="PROPALCOL",42,E161="MASTERTEC",42,E161="GANADERIA OVIA",42,E161="ENGORDE",40,E161="DESCARTES",40,E161="REPRODUCTORA",10,E161="BAJO PESO",40,E161="CHICKENCORP",42)</f>
        <v>40</v>
      </c>
      <c r="O161" s="7">
        <f t="shared" si="28"/>
        <v>0.80727084198512566</v>
      </c>
      <c r="P161" s="22">
        <f t="shared" si="29"/>
        <v>111.49630285714285</v>
      </c>
      <c r="Q161" s="22">
        <f t="shared" si="30"/>
        <v>90.007714285714272</v>
      </c>
      <c r="R161" s="7">
        <f t="shared" si="31"/>
        <v>0.97142857142857142</v>
      </c>
      <c r="S161" s="22">
        <v>23</v>
      </c>
      <c r="T161" s="23">
        <v>0.25</v>
      </c>
      <c r="U161" s="23">
        <v>0.44791666666666669</v>
      </c>
      <c r="V161" s="12"/>
      <c r="W161" s="12"/>
      <c r="X161" s="2"/>
      <c r="Y161" s="2">
        <f t="shared" si="32"/>
        <v>0</v>
      </c>
      <c r="Z161" s="2">
        <v>1</v>
      </c>
      <c r="AA161" s="2">
        <f t="shared" si="33"/>
        <v>4.375</v>
      </c>
      <c r="AB161" s="8">
        <f t="shared" si="34"/>
        <v>3.75</v>
      </c>
      <c r="AC161" s="8">
        <f t="shared" si="35"/>
        <v>0</v>
      </c>
      <c r="AD161" s="10">
        <f t="shared" si="36"/>
        <v>46.666666666666664</v>
      </c>
      <c r="AE161" s="2">
        <f t="shared" si="37"/>
        <v>182.62</v>
      </c>
      <c r="AF161" s="9">
        <f t="shared" si="38"/>
        <v>1</v>
      </c>
      <c r="AG161" s="9">
        <f t="shared" si="39"/>
        <v>1</v>
      </c>
      <c r="AH161" s="70">
        <f t="shared" si="40"/>
        <v>0.97142857142857142</v>
      </c>
      <c r="AI161"/>
    </row>
    <row r="162" spans="1:35" x14ac:dyDescent="0.25">
      <c r="A162" s="22">
        <v>21</v>
      </c>
      <c r="B162" s="24">
        <v>46163</v>
      </c>
      <c r="C162" s="1" t="s">
        <v>34</v>
      </c>
      <c r="D162" s="1">
        <v>274</v>
      </c>
      <c r="E162" s="4" t="s">
        <v>37</v>
      </c>
      <c r="F162" s="5" t="s">
        <v>36</v>
      </c>
      <c r="G162" s="22">
        <v>22388.399999999998</v>
      </c>
      <c r="H162" s="22">
        <v>18129.049999999996</v>
      </c>
      <c r="I162" s="22">
        <v>235</v>
      </c>
      <c r="J162" s="22">
        <v>65</v>
      </c>
      <c r="K162" s="22" t="s">
        <v>50</v>
      </c>
      <c r="L162" s="22"/>
      <c r="M162" s="22"/>
      <c r="N162" s="4" cm="1">
        <f t="array" ref="N162">_xlfn.IFS(E162="MOLINOS CHAMPION S.F",42,E162="PROPALCOL",42,E162="MASTERTEC",42,E162="GANADERIA OVIA",42,E162="ENGORDE",40,E162="DESCARTES",40,E162="REPRODUCTORA",10,E162="BAJO PESO",40,E162="CHICKENCORP",42)</f>
        <v>40</v>
      </c>
      <c r="O162" s="7">
        <f t="shared" si="28"/>
        <v>0.80975192510407168</v>
      </c>
      <c r="P162" s="22">
        <f t="shared" si="29"/>
        <v>95.269787234042539</v>
      </c>
      <c r="Q162" s="22">
        <f t="shared" si="30"/>
        <v>77.144893617021253</v>
      </c>
      <c r="R162" s="7">
        <f t="shared" si="31"/>
        <v>0.72340425531914898</v>
      </c>
      <c r="S162" s="22">
        <v>30</v>
      </c>
      <c r="T162" s="23">
        <v>0.25</v>
      </c>
      <c r="U162" s="23">
        <v>0.55902777777777779</v>
      </c>
      <c r="V162" s="12"/>
      <c r="W162" s="12"/>
      <c r="X162" s="2"/>
      <c r="Y162" s="2">
        <f t="shared" si="32"/>
        <v>0</v>
      </c>
      <c r="Z162" s="2">
        <v>1</v>
      </c>
      <c r="AA162" s="2">
        <f t="shared" si="33"/>
        <v>5.875</v>
      </c>
      <c r="AB162" s="8">
        <f t="shared" ref="AB162:AB197" si="41">(HOUR(U162-T162)+MINUTE(U162-T162)/60)-Z162-Y162</f>
        <v>6.416666666666667</v>
      </c>
      <c r="AC162" s="8">
        <f t="shared" si="35"/>
        <v>0.54166666666666696</v>
      </c>
      <c r="AD162" s="10">
        <f t="shared" si="36"/>
        <v>36.623376623376622</v>
      </c>
      <c r="AE162" s="2">
        <f t="shared" si="37"/>
        <v>94.18</v>
      </c>
      <c r="AF162" s="9">
        <f t="shared" si="38"/>
        <v>0.90780141843971629</v>
      </c>
      <c r="AG162" s="9">
        <f t="shared" si="39"/>
        <v>0.9155844155844155</v>
      </c>
      <c r="AH162" s="70">
        <f t="shared" si="40"/>
        <v>0.60127106935617569</v>
      </c>
      <c r="AI162"/>
    </row>
    <row r="163" spans="1:35" x14ac:dyDescent="0.25">
      <c r="A163" s="22">
        <v>21</v>
      </c>
      <c r="B163" s="24">
        <v>46165</v>
      </c>
      <c r="C163" s="1" t="s">
        <v>34</v>
      </c>
      <c r="D163" s="1">
        <v>274</v>
      </c>
      <c r="E163" s="4" t="s">
        <v>37</v>
      </c>
      <c r="F163" s="5" t="s">
        <v>36</v>
      </c>
      <c r="G163" s="22">
        <v>26127.049999999996</v>
      </c>
      <c r="H163" s="22">
        <v>20917.599999999999</v>
      </c>
      <c r="I163" s="22">
        <v>233</v>
      </c>
      <c r="J163" s="22">
        <v>15</v>
      </c>
      <c r="K163" s="22" t="s">
        <v>50</v>
      </c>
      <c r="L163" s="22"/>
      <c r="M163" s="22"/>
      <c r="N163" s="4" cm="1">
        <f t="array" ref="N163">_xlfn.IFS(E163="MOLINOS CHAMPION S.F",42,E163="PROPALCOL",42,E163="MASTERTEC",42,E163="GANADERIA OVIA",42,E163="ENGORDE",40,E163="DESCARTES",40,E163="REPRODUCTORA",10,E163="BAJO PESO",40,E163="CHICKENCORP",42)</f>
        <v>40</v>
      </c>
      <c r="O163" s="7">
        <f t="shared" si="28"/>
        <v>0.8006108611573064</v>
      </c>
      <c r="P163" s="22">
        <f t="shared" si="29"/>
        <v>112.13326180257509</v>
      </c>
      <c r="Q163" s="22">
        <f t="shared" si="30"/>
        <v>89.775107296137335</v>
      </c>
      <c r="R163" s="7">
        <f t="shared" si="31"/>
        <v>0.93562231759656656</v>
      </c>
      <c r="S163" s="22">
        <v>32</v>
      </c>
      <c r="T163" s="23">
        <v>0.25</v>
      </c>
      <c r="U163" s="23">
        <v>0.50902777777777775</v>
      </c>
      <c r="V163" s="12"/>
      <c r="W163" s="12"/>
      <c r="X163" s="2"/>
      <c r="Y163" s="2">
        <f t="shared" si="32"/>
        <v>0</v>
      </c>
      <c r="Z163" s="2">
        <v>1</v>
      </c>
      <c r="AA163" s="2">
        <f t="shared" si="33"/>
        <v>5.8250000000000002</v>
      </c>
      <c r="AB163" s="8">
        <f t="shared" si="41"/>
        <v>5.2166666666666668</v>
      </c>
      <c r="AC163" s="8">
        <f t="shared" si="35"/>
        <v>0</v>
      </c>
      <c r="AD163" s="10">
        <f t="shared" si="36"/>
        <v>44.664536741214057</v>
      </c>
      <c r="AE163" s="2">
        <f t="shared" si="37"/>
        <v>125.31</v>
      </c>
      <c r="AF163" s="9">
        <f t="shared" si="38"/>
        <v>1</v>
      </c>
      <c r="AG163" s="9">
        <f t="shared" si="39"/>
        <v>1</v>
      </c>
      <c r="AH163" s="70">
        <f t="shared" si="40"/>
        <v>0.93562231759656656</v>
      </c>
      <c r="AI163"/>
    </row>
    <row r="164" spans="1:35" x14ac:dyDescent="0.25">
      <c r="A164" s="22">
        <v>22</v>
      </c>
      <c r="B164" s="24">
        <v>46167</v>
      </c>
      <c r="C164" s="1" t="s">
        <v>34</v>
      </c>
      <c r="D164" s="1">
        <v>5470</v>
      </c>
      <c r="E164" s="4" t="s">
        <v>35</v>
      </c>
      <c r="F164" s="5" t="s">
        <v>36</v>
      </c>
      <c r="G164" s="22">
        <v>13266.250000000002</v>
      </c>
      <c r="H164" s="22">
        <v>10031.800000000003</v>
      </c>
      <c r="I164" s="22">
        <v>120</v>
      </c>
      <c r="J164" s="22"/>
      <c r="K164" s="22"/>
      <c r="L164" s="22"/>
      <c r="M164" s="22"/>
      <c r="N164" s="4" cm="1">
        <f t="array" ref="N164">_xlfn.IFS(E164="MOLINOS CHAMPION S.F",42,E164="PROPALCOL",42,E164="MASTERTEC",42,E164="GANADERIA OVIA",42,E164="ENGORDE",40,E164="DESCARTES",40,E164="REPRODUCTORA",10,E164="BAJO PESO",40,E164="CHICKENCORP",42)</f>
        <v>42</v>
      </c>
      <c r="O164" s="7">
        <f t="shared" si="28"/>
        <v>0.7561895788184303</v>
      </c>
      <c r="P164" s="22">
        <f t="shared" si="29"/>
        <v>110.55208333333334</v>
      </c>
      <c r="Q164" s="22">
        <f t="shared" si="30"/>
        <v>83.598333333333358</v>
      </c>
      <c r="R164" s="7">
        <f t="shared" si="31"/>
        <v>1</v>
      </c>
      <c r="S164" s="22">
        <v>27</v>
      </c>
      <c r="T164" s="23">
        <v>0.55902777777777779</v>
      </c>
      <c r="U164" s="23">
        <v>0.69652777777777775</v>
      </c>
      <c r="V164" s="12"/>
      <c r="W164" s="12"/>
      <c r="X164" s="2"/>
      <c r="Y164" s="2">
        <f t="shared" si="32"/>
        <v>0</v>
      </c>
      <c r="Z164" s="2"/>
      <c r="AA164" s="2">
        <f t="shared" si="33"/>
        <v>2.8571428571428572</v>
      </c>
      <c r="AB164" s="8">
        <f t="shared" si="41"/>
        <v>3.3</v>
      </c>
      <c r="AC164" s="8">
        <f t="shared" si="35"/>
        <v>0.44285714285714262</v>
      </c>
      <c r="AD164" s="10">
        <f t="shared" si="36"/>
        <v>36.363636363636367</v>
      </c>
      <c r="AE164" s="2">
        <f t="shared" si="37"/>
        <v>112.59</v>
      </c>
      <c r="AF164" s="9">
        <f t="shared" si="38"/>
        <v>0.84500000000000008</v>
      </c>
      <c r="AG164" s="9">
        <f t="shared" si="39"/>
        <v>0.8658008658008659</v>
      </c>
      <c r="AH164" s="70">
        <f t="shared" si="40"/>
        <v>0.73160173160173181</v>
      </c>
      <c r="AI164"/>
    </row>
    <row r="165" spans="1:35" x14ac:dyDescent="0.25">
      <c r="A165" s="22">
        <v>22</v>
      </c>
      <c r="B165" s="24">
        <v>46167</v>
      </c>
      <c r="C165" s="1" t="s">
        <v>34</v>
      </c>
      <c r="D165" s="1">
        <v>274</v>
      </c>
      <c r="E165" s="4" t="s">
        <v>51</v>
      </c>
      <c r="F165" s="5" t="s">
        <v>36</v>
      </c>
      <c r="G165" s="22">
        <v>5726.05</v>
      </c>
      <c r="H165" s="22">
        <f>G165*0.8</f>
        <v>4580.84</v>
      </c>
      <c r="I165" s="22">
        <v>60</v>
      </c>
      <c r="J165" s="22"/>
      <c r="K165" s="22"/>
      <c r="L165" s="22"/>
      <c r="M165" s="22"/>
      <c r="N165" s="4" cm="1">
        <f t="array" ref="N165">_xlfn.IFS(E165="MOLINOS CHAMPION S.F",42,E165="PROPALCOL",42,E165="MASTERTEC",42,E165="GANADERIA OVIA",42,E165="ENGORDE",40,E165="DESCARTES",40,E165="REPRODUCTORA",10,E165="BAJO PESO",40,E165="CHICKENCORP",42)</f>
        <v>42</v>
      </c>
      <c r="O165" s="7">
        <f t="shared" si="28"/>
        <v>0.8</v>
      </c>
      <c r="P165" s="22">
        <f t="shared" si="29"/>
        <v>95.43416666666667</v>
      </c>
      <c r="Q165" s="22">
        <f t="shared" si="30"/>
        <v>76.347333333333339</v>
      </c>
      <c r="R165" s="7">
        <f t="shared" si="31"/>
        <v>1</v>
      </c>
      <c r="S165" s="22">
        <v>27</v>
      </c>
      <c r="T165" s="23">
        <v>0.49305555555555558</v>
      </c>
      <c r="U165" s="23">
        <v>0.57638888888888884</v>
      </c>
      <c r="V165" s="12"/>
      <c r="W165" s="12"/>
      <c r="X165" s="2"/>
      <c r="Y165" s="2">
        <f t="shared" si="32"/>
        <v>0</v>
      </c>
      <c r="Z165" s="2"/>
      <c r="AA165" s="2">
        <f t="shared" si="33"/>
        <v>1.4285714285714286</v>
      </c>
      <c r="AB165" s="8">
        <f t="shared" si="41"/>
        <v>2</v>
      </c>
      <c r="AC165" s="8">
        <f t="shared" si="35"/>
        <v>0.5714285714285714</v>
      </c>
      <c r="AD165" s="10">
        <f t="shared" si="36"/>
        <v>30</v>
      </c>
      <c r="AE165" s="2">
        <f t="shared" si="37"/>
        <v>84.83</v>
      </c>
      <c r="AF165" s="9">
        <f t="shared" si="38"/>
        <v>0.6</v>
      </c>
      <c r="AG165" s="9">
        <f t="shared" si="39"/>
        <v>0.7142857142857143</v>
      </c>
      <c r="AH165" s="70">
        <f t="shared" si="40"/>
        <v>0.42857142857142855</v>
      </c>
      <c r="AI165"/>
    </row>
    <row r="166" spans="1:35" x14ac:dyDescent="0.25">
      <c r="A166" s="22">
        <v>22</v>
      </c>
      <c r="B166" s="24">
        <v>46167</v>
      </c>
      <c r="C166" s="1" t="s">
        <v>34</v>
      </c>
      <c r="D166" s="1">
        <v>274</v>
      </c>
      <c r="E166" s="4" t="s">
        <v>37</v>
      </c>
      <c r="F166" s="5" t="s">
        <v>36</v>
      </c>
      <c r="G166" s="22">
        <v>17860.7</v>
      </c>
      <c r="H166" s="22">
        <v>14288.199999999999</v>
      </c>
      <c r="I166" s="22">
        <v>169</v>
      </c>
      <c r="J166" s="22">
        <v>10</v>
      </c>
      <c r="K166" s="22" t="s">
        <v>50</v>
      </c>
      <c r="L166" s="22"/>
      <c r="M166" s="22"/>
      <c r="N166" s="4" cm="1">
        <f t="array" ref="N166">_xlfn.IFS(E166="MOLINOS CHAMPION S.F",42,E166="PROPALCOL",42,E166="MASTERTEC",42,E166="GANADERIA OVIA",42,E166="ENGORDE",40,E166="DESCARTES",40,E166="REPRODUCTORA",10,E166="BAJO PESO",40,E166="CHICKENCORP",42)</f>
        <v>40</v>
      </c>
      <c r="O166" s="7">
        <f t="shared" si="28"/>
        <v>0.79997984401507205</v>
      </c>
      <c r="P166" s="22">
        <f t="shared" si="29"/>
        <v>105.68461538461538</v>
      </c>
      <c r="Q166" s="22">
        <f t="shared" si="30"/>
        <v>84.545562130177515</v>
      </c>
      <c r="R166" s="7">
        <f t="shared" si="31"/>
        <v>0.94082840236686394</v>
      </c>
      <c r="S166" s="22">
        <v>27</v>
      </c>
      <c r="T166" s="23">
        <v>0.25</v>
      </c>
      <c r="U166" s="23">
        <v>0.46875</v>
      </c>
      <c r="V166" s="12"/>
      <c r="W166" s="12"/>
      <c r="X166" s="2"/>
      <c r="Y166" s="2">
        <f t="shared" si="32"/>
        <v>0</v>
      </c>
      <c r="Z166" s="2">
        <v>1</v>
      </c>
      <c r="AA166" s="2">
        <f t="shared" si="33"/>
        <v>4.2249999999999996</v>
      </c>
      <c r="AB166" s="8">
        <f t="shared" si="41"/>
        <v>4.25</v>
      </c>
      <c r="AC166" s="8">
        <f t="shared" si="35"/>
        <v>2.5000000000000355E-2</v>
      </c>
      <c r="AD166" s="10">
        <f t="shared" si="36"/>
        <v>39.764705882352942</v>
      </c>
      <c r="AE166" s="2">
        <f t="shared" si="37"/>
        <v>124.52</v>
      </c>
      <c r="AF166" s="9">
        <f t="shared" si="38"/>
        <v>0.99408284023668636</v>
      </c>
      <c r="AG166" s="9">
        <f t="shared" si="39"/>
        <v>0.99411764705882355</v>
      </c>
      <c r="AH166" s="70">
        <f t="shared" si="40"/>
        <v>0.92975983292725373</v>
      </c>
      <c r="AI166"/>
    </row>
    <row r="167" spans="1:35" x14ac:dyDescent="0.25">
      <c r="A167" s="22">
        <v>22</v>
      </c>
      <c r="B167" s="24">
        <v>46168</v>
      </c>
      <c r="C167" s="1" t="s">
        <v>34</v>
      </c>
      <c r="D167" s="1">
        <v>5470</v>
      </c>
      <c r="E167" s="4" t="s">
        <v>35</v>
      </c>
      <c r="F167" s="5" t="s">
        <v>36</v>
      </c>
      <c r="G167" s="22">
        <v>6579.05</v>
      </c>
      <c r="H167" s="22">
        <v>4991.9499999999989</v>
      </c>
      <c r="I167" s="22">
        <v>60</v>
      </c>
      <c r="J167" s="22"/>
      <c r="K167" s="22"/>
      <c r="L167" s="22"/>
      <c r="M167" s="22"/>
      <c r="N167" s="4" cm="1">
        <f t="array" ref="N167">_xlfn.IFS(E167="MOLINOS CHAMPION S.F",42,E167="PROPALCOL",42,E167="MASTERTEC",42,E167="GANADERIA OVIA",42,E167="ENGORDE",40,E167="DESCARTES",40,E167="REPRODUCTORA",10,E167="BAJO PESO",40,E167="CHICKENCORP",42)</f>
        <v>42</v>
      </c>
      <c r="O167" s="7">
        <f t="shared" si="28"/>
        <v>0.75876456327281272</v>
      </c>
      <c r="P167" s="22">
        <f t="shared" si="29"/>
        <v>109.65083333333334</v>
      </c>
      <c r="Q167" s="22">
        <f t="shared" si="30"/>
        <v>83.199166666666642</v>
      </c>
      <c r="R167" s="7">
        <f t="shared" si="31"/>
        <v>1</v>
      </c>
      <c r="S167" s="22">
        <v>37</v>
      </c>
      <c r="T167" s="23">
        <v>0.47569444444444442</v>
      </c>
      <c r="U167" s="23">
        <v>0.54861111111111116</v>
      </c>
      <c r="V167" s="12"/>
      <c r="W167" s="12"/>
      <c r="X167" s="2"/>
      <c r="Y167" s="2">
        <f t="shared" si="32"/>
        <v>0</v>
      </c>
      <c r="Z167" s="2"/>
      <c r="AA167" s="2">
        <f t="shared" si="33"/>
        <v>1.4285714285714286</v>
      </c>
      <c r="AB167" s="8">
        <f t="shared" si="41"/>
        <v>1.75</v>
      </c>
      <c r="AC167" s="8">
        <f t="shared" si="35"/>
        <v>0.3214285714285714</v>
      </c>
      <c r="AD167" s="10">
        <f t="shared" si="36"/>
        <v>34.285714285714285</v>
      </c>
      <c r="AE167" s="2">
        <f t="shared" si="37"/>
        <v>77.099999999999994</v>
      </c>
      <c r="AF167" s="9">
        <f t="shared" si="38"/>
        <v>0.77500000000000002</v>
      </c>
      <c r="AG167" s="9">
        <f t="shared" si="39"/>
        <v>0.81632653061224492</v>
      </c>
      <c r="AH167" s="70">
        <f t="shared" si="40"/>
        <v>0.63265306122448983</v>
      </c>
      <c r="AI167"/>
    </row>
    <row r="168" spans="1:35" x14ac:dyDescent="0.25">
      <c r="A168" s="22">
        <v>22</v>
      </c>
      <c r="B168" s="24">
        <v>46168</v>
      </c>
      <c r="C168" s="1" t="s">
        <v>34</v>
      </c>
      <c r="D168" s="1">
        <v>274</v>
      </c>
      <c r="E168" s="4" t="s">
        <v>37</v>
      </c>
      <c r="F168" s="5" t="s">
        <v>36</v>
      </c>
      <c r="G168" s="22">
        <v>22163.449999999997</v>
      </c>
      <c r="H168" s="22">
        <v>17607.7</v>
      </c>
      <c r="I168" s="22">
        <v>231</v>
      </c>
      <c r="J168" s="22">
        <v>75</v>
      </c>
      <c r="K168" s="22" t="s">
        <v>50</v>
      </c>
      <c r="L168" s="22"/>
      <c r="M168" s="22"/>
      <c r="N168" s="4" cm="1">
        <f t="array" ref="N168">_xlfn.IFS(E168="MOLINOS CHAMPION S.F",42,E168="PROPALCOL",42,E168="MASTERTEC",42,E168="GANADERIA OVIA",42,E168="ENGORDE",40,E168="DESCARTES",40,E168="REPRODUCTORA",10,E168="BAJO PESO",40,E168="CHICKENCORP",42)</f>
        <v>40</v>
      </c>
      <c r="O168" s="7">
        <f t="shared" si="28"/>
        <v>0.7944476153306459</v>
      </c>
      <c r="P168" s="22">
        <f t="shared" si="29"/>
        <v>95.94567099567098</v>
      </c>
      <c r="Q168" s="22">
        <f t="shared" si="30"/>
        <v>76.223809523809521</v>
      </c>
      <c r="R168" s="7">
        <f t="shared" si="31"/>
        <v>0.67532467532467533</v>
      </c>
      <c r="S168" s="22">
        <v>37</v>
      </c>
      <c r="T168" s="23">
        <v>0.26041666666666669</v>
      </c>
      <c r="U168" s="23">
        <v>0.44097222222222221</v>
      </c>
      <c r="V168" s="12"/>
      <c r="W168" s="12"/>
      <c r="X168" s="2"/>
      <c r="Y168" s="2">
        <f t="shared" si="32"/>
        <v>0</v>
      </c>
      <c r="Z168" s="2">
        <v>1</v>
      </c>
      <c r="AA168" s="2">
        <f t="shared" si="33"/>
        <v>5.7750000000000004</v>
      </c>
      <c r="AB168" s="8">
        <f t="shared" si="41"/>
        <v>3.333333333333333</v>
      </c>
      <c r="AC168" s="8">
        <f t="shared" si="35"/>
        <v>0</v>
      </c>
      <c r="AD168" s="10">
        <f t="shared" si="36"/>
        <v>69.300000000000011</v>
      </c>
      <c r="AE168" s="2">
        <f t="shared" si="37"/>
        <v>142.77000000000001</v>
      </c>
      <c r="AF168" s="9">
        <f t="shared" si="38"/>
        <v>1</v>
      </c>
      <c r="AG168" s="9">
        <f t="shared" si="39"/>
        <v>1</v>
      </c>
      <c r="AH168" s="70">
        <f t="shared" si="40"/>
        <v>0.67532467532467533</v>
      </c>
      <c r="AI168"/>
    </row>
    <row r="169" spans="1:35" x14ac:dyDescent="0.25">
      <c r="A169" s="22">
        <v>22</v>
      </c>
      <c r="B169" s="24">
        <v>46169</v>
      </c>
      <c r="C169" s="1" t="s">
        <v>34</v>
      </c>
      <c r="D169" s="1">
        <v>5470</v>
      </c>
      <c r="E169" s="4" t="s">
        <v>35</v>
      </c>
      <c r="F169" s="5" t="s">
        <v>36</v>
      </c>
      <c r="G169" s="22">
        <v>6507.4949999999999</v>
      </c>
      <c r="H169" s="22">
        <v>5035.2</v>
      </c>
      <c r="I169" s="22">
        <v>60</v>
      </c>
      <c r="J169" s="22"/>
      <c r="K169" s="22"/>
      <c r="L169" s="22"/>
      <c r="M169" s="22"/>
      <c r="N169" s="4" cm="1">
        <f t="array" ref="N169">_xlfn.IFS(E169="MOLINOS CHAMPION S.F",42,E169="PROPALCOL",42,E169="MASTERTEC",42,E169="GANADERIA OVIA",42,E169="ENGORDE",40,E169="DESCARTES",40,E169="REPRODUCTORA",10,E169="BAJO PESO",40,E169="CHICKENCORP",42)</f>
        <v>42</v>
      </c>
      <c r="O169" s="7">
        <f t="shared" si="28"/>
        <v>0.77375395601533303</v>
      </c>
      <c r="P169" s="22">
        <f t="shared" si="29"/>
        <v>108.45824999999999</v>
      </c>
      <c r="Q169" s="22">
        <f t="shared" si="30"/>
        <v>83.92</v>
      </c>
      <c r="R169" s="7">
        <f t="shared" si="31"/>
        <v>1</v>
      </c>
      <c r="S169" s="22">
        <v>27</v>
      </c>
      <c r="T169" s="23">
        <v>0.64930555555555558</v>
      </c>
      <c r="U169" s="23">
        <v>0.71944444444444444</v>
      </c>
      <c r="V169" s="12"/>
      <c r="W169" s="12"/>
      <c r="X169" s="2"/>
      <c r="Y169" s="2">
        <f t="shared" si="32"/>
        <v>0</v>
      </c>
      <c r="Z169" s="2"/>
      <c r="AA169" s="2">
        <f t="shared" si="33"/>
        <v>1.4285714285714286</v>
      </c>
      <c r="AB169" s="8">
        <f t="shared" si="41"/>
        <v>1.6833333333333333</v>
      </c>
      <c r="AC169" s="8">
        <f t="shared" si="35"/>
        <v>0.25476190476190474</v>
      </c>
      <c r="AD169" s="10">
        <f t="shared" si="36"/>
        <v>35.643564356435647</v>
      </c>
      <c r="AE169" s="2">
        <f t="shared" si="37"/>
        <v>110.79</v>
      </c>
      <c r="AF169" s="9">
        <f t="shared" si="38"/>
        <v>0.82166666666666666</v>
      </c>
      <c r="AG169" s="9">
        <f t="shared" si="39"/>
        <v>0.84865629420084876</v>
      </c>
      <c r="AH169" s="70">
        <f t="shared" si="40"/>
        <v>0.69731258840169741</v>
      </c>
      <c r="AI169"/>
    </row>
    <row r="170" spans="1:35" x14ac:dyDescent="0.25">
      <c r="A170" s="22">
        <v>22</v>
      </c>
      <c r="B170" s="24">
        <v>46169</v>
      </c>
      <c r="C170" s="1" t="s">
        <v>34</v>
      </c>
      <c r="D170" s="1">
        <v>274</v>
      </c>
      <c r="E170" s="4" t="s">
        <v>37</v>
      </c>
      <c r="F170" s="5" t="s">
        <v>36</v>
      </c>
      <c r="G170" s="22">
        <v>25439.450000000004</v>
      </c>
      <c r="H170" s="22">
        <v>20328.09999999998</v>
      </c>
      <c r="I170" s="22">
        <v>241</v>
      </c>
      <c r="J170" s="22">
        <v>5</v>
      </c>
      <c r="K170" s="22" t="s">
        <v>50</v>
      </c>
      <c r="L170" s="22"/>
      <c r="M170" s="22"/>
      <c r="N170" s="4" cm="1">
        <f t="array" ref="N170">_xlfn.IFS(E170="MOLINOS CHAMPION S.F",42,E170="PROPALCOL",42,E170="MASTERTEC",42,E170="GANADERIA OVIA",42,E170="ENGORDE",40,E170="DESCARTES",40,E170="REPRODUCTORA",10,E170="BAJO PESO",40,E170="CHICKENCORP",42)</f>
        <v>40</v>
      </c>
      <c r="O170" s="7">
        <f t="shared" si="28"/>
        <v>0.79907781025140001</v>
      </c>
      <c r="P170" s="22">
        <f t="shared" si="29"/>
        <v>105.55788381742741</v>
      </c>
      <c r="Q170" s="22">
        <f t="shared" si="30"/>
        <v>84.348962655601582</v>
      </c>
      <c r="R170" s="7">
        <f t="shared" si="31"/>
        <v>0.97925311203319498</v>
      </c>
      <c r="S170" s="22">
        <v>27</v>
      </c>
      <c r="T170" s="23">
        <v>0.25</v>
      </c>
      <c r="U170" s="23">
        <v>0.66180555555555554</v>
      </c>
      <c r="V170" s="12"/>
      <c r="W170" s="12"/>
      <c r="X170" s="2"/>
      <c r="Y170" s="2">
        <f t="shared" si="32"/>
        <v>0</v>
      </c>
      <c r="Z170" s="2">
        <v>1</v>
      </c>
      <c r="AA170" s="2">
        <f t="shared" si="33"/>
        <v>6.0250000000000004</v>
      </c>
      <c r="AB170" s="8">
        <f t="shared" si="41"/>
        <v>8.8833333333333329</v>
      </c>
      <c r="AC170" s="8">
        <f t="shared" si="35"/>
        <v>2.8583333333333325</v>
      </c>
      <c r="AD170" s="10">
        <f t="shared" si="36"/>
        <v>27.129455909943715</v>
      </c>
      <c r="AE170" s="2">
        <f t="shared" si="37"/>
        <v>84.75</v>
      </c>
      <c r="AF170" s="9">
        <f t="shared" si="38"/>
        <v>0.52558782849239294</v>
      </c>
      <c r="AG170" s="9">
        <f t="shared" si="39"/>
        <v>0.6782363977485929</v>
      </c>
      <c r="AH170" s="70">
        <f t="shared" si="40"/>
        <v>0.34907709434579198</v>
      </c>
      <c r="AI170"/>
    </row>
    <row r="171" spans="1:35" x14ac:dyDescent="0.25">
      <c r="A171" s="22">
        <v>22</v>
      </c>
      <c r="B171" s="24">
        <v>46170</v>
      </c>
      <c r="C171" s="1" t="s">
        <v>34</v>
      </c>
      <c r="D171" s="1">
        <v>5470</v>
      </c>
      <c r="E171" s="4" t="s">
        <v>35</v>
      </c>
      <c r="F171" s="5" t="s">
        <v>36</v>
      </c>
      <c r="G171" s="22">
        <v>6146.8499999999967</v>
      </c>
      <c r="H171" s="22">
        <v>4621.0500000000011</v>
      </c>
      <c r="I171" s="22">
        <v>60</v>
      </c>
      <c r="J171" s="22"/>
      <c r="K171" s="22"/>
      <c r="L171" s="22"/>
      <c r="M171" s="22"/>
      <c r="N171" s="4" cm="1">
        <f t="array" ref="N171">_xlfn.IFS(E171="MOLINOS CHAMPION S.F",42,E171="PROPALCOL",42,E171="MASTERTEC",42,E171="GANADERIA OVIA",42,E171="ENGORDE",40,E171="DESCARTES",40,E171="REPRODUCTORA",10,E171="BAJO PESO",40,E171="CHICKENCORP",42)</f>
        <v>42</v>
      </c>
      <c r="O171" s="7">
        <f t="shared" si="28"/>
        <v>0.75177529954366928</v>
      </c>
      <c r="P171" s="22">
        <f t="shared" si="29"/>
        <v>102.44749999999995</v>
      </c>
      <c r="Q171" s="22">
        <f t="shared" si="30"/>
        <v>77.017500000000013</v>
      </c>
      <c r="R171" s="7">
        <f t="shared" si="31"/>
        <v>1</v>
      </c>
      <c r="S171" s="22">
        <v>27</v>
      </c>
      <c r="T171" s="23">
        <v>0.62013888888888891</v>
      </c>
      <c r="U171" s="23">
        <v>0.67361111111111116</v>
      </c>
      <c r="V171" s="12"/>
      <c r="W171" s="12"/>
      <c r="X171" s="2"/>
      <c r="Y171" s="2">
        <f t="shared" si="32"/>
        <v>0</v>
      </c>
      <c r="Z171" s="2"/>
      <c r="AA171" s="2">
        <f t="shared" si="33"/>
        <v>1.4285714285714286</v>
      </c>
      <c r="AB171" s="8">
        <f t="shared" si="41"/>
        <v>1.2833333333333332</v>
      </c>
      <c r="AC171" s="8">
        <f t="shared" si="35"/>
        <v>0</v>
      </c>
      <c r="AD171" s="10">
        <f t="shared" si="36"/>
        <v>46.753246753246756</v>
      </c>
      <c r="AE171" s="2">
        <f t="shared" si="37"/>
        <v>133.36000000000001</v>
      </c>
      <c r="AF171" s="9">
        <f t="shared" si="38"/>
        <v>1</v>
      </c>
      <c r="AG171" s="9">
        <f t="shared" si="39"/>
        <v>1</v>
      </c>
      <c r="AH171" s="70">
        <f t="shared" si="40"/>
        <v>1</v>
      </c>
      <c r="AI171"/>
    </row>
    <row r="172" spans="1:35" x14ac:dyDescent="0.25">
      <c r="A172" s="22">
        <v>22</v>
      </c>
      <c r="B172" s="24">
        <v>46172</v>
      </c>
      <c r="C172" s="1" t="s">
        <v>34</v>
      </c>
      <c r="D172" s="1">
        <v>274</v>
      </c>
      <c r="E172" s="4" t="s">
        <v>37</v>
      </c>
      <c r="F172" s="5" t="s">
        <v>36</v>
      </c>
      <c r="G172" s="22">
        <v>32463.44999999999</v>
      </c>
      <c r="H172" s="22">
        <v>25767.699999999986</v>
      </c>
      <c r="I172" s="22">
        <v>332</v>
      </c>
      <c r="J172" s="22">
        <v>75</v>
      </c>
      <c r="K172" s="22" t="s">
        <v>50</v>
      </c>
      <c r="L172" s="22"/>
      <c r="M172" s="22"/>
      <c r="N172" s="4" cm="1">
        <f t="array" ref="N172">_xlfn.IFS(E172="MOLINOS CHAMPION S.F",42,E172="PROPALCOL",42,E172="MASTERTEC",42,E172="GANADERIA OVIA",42,E172="ENGORDE",40,E172="DESCARTES",40,E172="REPRODUCTORA",10,E172="BAJO PESO",40,E172="CHICKENCORP",42)</f>
        <v>40</v>
      </c>
      <c r="O172" s="7">
        <f t="shared" si="28"/>
        <v>0.79374496549196083</v>
      </c>
      <c r="P172" s="22">
        <f t="shared" si="29"/>
        <v>97.781475903614421</v>
      </c>
      <c r="Q172" s="22">
        <f t="shared" si="30"/>
        <v>77.613554216867428</v>
      </c>
      <c r="R172" s="7">
        <f t="shared" si="31"/>
        <v>0.77409638554216864</v>
      </c>
      <c r="S172" s="22">
        <v>26</v>
      </c>
      <c r="T172" s="23">
        <v>0.25</v>
      </c>
      <c r="U172" s="23">
        <v>0.73958333333333337</v>
      </c>
      <c r="V172" s="12"/>
      <c r="W172" s="12"/>
      <c r="X172" s="2"/>
      <c r="Y172" s="2">
        <f t="shared" si="32"/>
        <v>0</v>
      </c>
      <c r="Z172" s="2">
        <v>1</v>
      </c>
      <c r="AA172" s="2">
        <f t="shared" si="33"/>
        <v>8.3000000000000007</v>
      </c>
      <c r="AB172" s="8">
        <f t="shared" si="41"/>
        <v>10.75</v>
      </c>
      <c r="AC172" s="8">
        <f t="shared" si="35"/>
        <v>2.4499999999999993</v>
      </c>
      <c r="AD172" s="10">
        <f t="shared" si="36"/>
        <v>30.88372093023256</v>
      </c>
      <c r="AE172" s="2">
        <f t="shared" si="37"/>
        <v>92.19</v>
      </c>
      <c r="AF172" s="9">
        <f t="shared" si="38"/>
        <v>0.70481927710843384</v>
      </c>
      <c r="AG172" s="9">
        <f t="shared" si="39"/>
        <v>0.77209302325581397</v>
      </c>
      <c r="AH172" s="70">
        <f t="shared" si="40"/>
        <v>0.42125245166713371</v>
      </c>
      <c r="AI172"/>
    </row>
    <row r="173" spans="1:35" x14ac:dyDescent="0.25">
      <c r="A173" s="22">
        <v>23</v>
      </c>
      <c r="B173" s="24">
        <v>46174</v>
      </c>
      <c r="C173" s="1" t="s">
        <v>34</v>
      </c>
      <c r="D173" s="1">
        <v>5470</v>
      </c>
      <c r="E173" s="4" t="s">
        <v>35</v>
      </c>
      <c r="F173" s="5" t="s">
        <v>36</v>
      </c>
      <c r="G173" s="22">
        <v>13417.000000000005</v>
      </c>
      <c r="H173" s="22">
        <v>10135.549999999999</v>
      </c>
      <c r="I173" s="22">
        <v>120</v>
      </c>
      <c r="J173" s="22"/>
      <c r="K173" s="22"/>
      <c r="L173" s="22"/>
      <c r="M173" s="22"/>
      <c r="N173" s="4" cm="1">
        <f t="array" ref="N173">_xlfn.IFS(E173="MOLINOS CHAMPION S.F",42,E173="PROPALCOL",42,E173="MASTERTEC",42,E173="GANADERIA OVIA",42,E173="ENGORDE",40,E173="DESCARTES",40,E173="REPRODUCTORA",10,E173="BAJO PESO",40,E173="CHICKENCORP",42)</f>
        <v>42</v>
      </c>
      <c r="O173" s="7">
        <f t="shared" si="28"/>
        <v>0.75542595215025676</v>
      </c>
      <c r="P173" s="22">
        <f t="shared" si="29"/>
        <v>111.80833333333338</v>
      </c>
      <c r="Q173" s="22">
        <f t="shared" si="30"/>
        <v>84.462916666666658</v>
      </c>
      <c r="R173" s="7">
        <f t="shared" si="31"/>
        <v>1</v>
      </c>
      <c r="S173" s="22">
        <v>25</v>
      </c>
      <c r="T173" s="23">
        <v>0.50694444444444442</v>
      </c>
      <c r="U173" s="23">
        <v>0.66666666666666663</v>
      </c>
      <c r="V173" s="12"/>
      <c r="W173" s="12"/>
      <c r="X173" s="2"/>
      <c r="Y173" s="2">
        <f t="shared" si="32"/>
        <v>0</v>
      </c>
      <c r="Z173" s="2">
        <v>1</v>
      </c>
      <c r="AA173" s="2">
        <f t="shared" si="33"/>
        <v>2.8571428571428572</v>
      </c>
      <c r="AB173" s="8">
        <f t="shared" si="41"/>
        <v>2.8333333333333335</v>
      </c>
      <c r="AC173" s="8">
        <f t="shared" si="35"/>
        <v>0</v>
      </c>
      <c r="AD173" s="10">
        <f t="shared" si="36"/>
        <v>42.352941176470587</v>
      </c>
      <c r="AE173" s="2">
        <f t="shared" si="37"/>
        <v>143.09</v>
      </c>
      <c r="AF173" s="9">
        <f t="shared" si="38"/>
        <v>1</v>
      </c>
      <c r="AG173" s="9">
        <f t="shared" si="39"/>
        <v>1</v>
      </c>
      <c r="AH173" s="70">
        <f t="shared" si="40"/>
        <v>1</v>
      </c>
      <c r="AI173"/>
    </row>
    <row r="174" spans="1:35" x14ac:dyDescent="0.25">
      <c r="A174" s="22">
        <v>23</v>
      </c>
      <c r="B174" s="24">
        <v>46174</v>
      </c>
      <c r="C174" s="1" t="s">
        <v>34</v>
      </c>
      <c r="D174" s="1">
        <v>274</v>
      </c>
      <c r="E174" s="4" t="s">
        <v>51</v>
      </c>
      <c r="F174" s="5" t="s">
        <v>36</v>
      </c>
      <c r="G174" s="22">
        <v>5797.8999999999987</v>
      </c>
      <c r="H174" s="22">
        <f>G174*0.8</f>
        <v>4638.3199999999988</v>
      </c>
      <c r="I174" s="22">
        <v>60</v>
      </c>
      <c r="J174" s="22"/>
      <c r="K174" s="22"/>
      <c r="L174" s="22"/>
      <c r="M174" s="22"/>
      <c r="N174" s="4" cm="1">
        <f t="array" ref="N174">_xlfn.IFS(E174="MOLINOS CHAMPION S.F",42,E174="PROPALCOL",42,E174="MASTERTEC",42,E174="GANADERIA OVIA",42,E174="ENGORDE",40,E174="DESCARTES",40,E174="REPRODUCTORA",10,E174="BAJO PESO",40,E174="CHICKENCORP",42)</f>
        <v>42</v>
      </c>
      <c r="O174" s="7">
        <f t="shared" si="28"/>
        <v>0.79999999999999993</v>
      </c>
      <c r="P174" s="22">
        <f t="shared" si="29"/>
        <v>96.631666666666646</v>
      </c>
      <c r="Q174" s="22">
        <f t="shared" si="30"/>
        <v>77.305333333333309</v>
      </c>
      <c r="R174" s="7">
        <f t="shared" si="31"/>
        <v>1</v>
      </c>
      <c r="S174" s="22">
        <v>25</v>
      </c>
      <c r="T174" s="23">
        <v>0.3888888888888889</v>
      </c>
      <c r="U174" s="23">
        <v>0.46875</v>
      </c>
      <c r="V174" s="12"/>
      <c r="W174" s="12"/>
      <c r="X174" s="2"/>
      <c r="Y174" s="2">
        <f t="shared" si="32"/>
        <v>0</v>
      </c>
      <c r="Z174" s="2"/>
      <c r="AA174" s="2">
        <f t="shared" si="33"/>
        <v>1.4285714285714286</v>
      </c>
      <c r="AB174" s="8">
        <f t="shared" si="41"/>
        <v>1.9166666666666665</v>
      </c>
      <c r="AC174" s="8">
        <f t="shared" si="35"/>
        <v>0.48809523809523792</v>
      </c>
      <c r="AD174" s="10">
        <f t="shared" si="36"/>
        <v>31.304347826086961</v>
      </c>
      <c r="AE174" s="2">
        <f t="shared" si="37"/>
        <v>96.8</v>
      </c>
      <c r="AF174" s="9">
        <f t="shared" si="38"/>
        <v>0.65833333333333344</v>
      </c>
      <c r="AG174" s="9">
        <f t="shared" si="39"/>
        <v>0.74534161490683237</v>
      </c>
      <c r="AH174" s="70">
        <f t="shared" si="40"/>
        <v>0.49068322981366475</v>
      </c>
      <c r="AI174"/>
    </row>
    <row r="175" spans="1:35" x14ac:dyDescent="0.25">
      <c r="A175" s="22">
        <v>23</v>
      </c>
      <c r="B175" s="24">
        <v>46174</v>
      </c>
      <c r="C175" s="1" t="s">
        <v>34</v>
      </c>
      <c r="D175" s="1">
        <v>274</v>
      </c>
      <c r="E175" s="4" t="s">
        <v>37</v>
      </c>
      <c r="F175" s="5" t="s">
        <v>36</v>
      </c>
      <c r="G175" s="22">
        <v>6939</v>
      </c>
      <c r="H175" s="22">
        <v>5292.8000000000011</v>
      </c>
      <c r="I175" s="22">
        <v>63</v>
      </c>
      <c r="J175" s="22"/>
      <c r="K175" s="22"/>
      <c r="L175" s="22"/>
      <c r="M175" s="22"/>
      <c r="N175" s="4" cm="1">
        <f t="array" ref="N175">_xlfn.IFS(E175="MOLINOS CHAMPION S.F",42,E175="PROPALCOL",42,E175="MASTERTEC",42,E175="GANADERIA OVIA",42,E175="ENGORDE",40,E175="DESCARTES",40,E175="REPRODUCTORA",10,E175="BAJO PESO",40,E175="CHICKENCORP",42)</f>
        <v>40</v>
      </c>
      <c r="O175" s="7">
        <f t="shared" si="28"/>
        <v>0.76276120478455123</v>
      </c>
      <c r="P175" s="22">
        <f t="shared" si="29"/>
        <v>110.14285714285714</v>
      </c>
      <c r="Q175" s="22">
        <f t="shared" si="30"/>
        <v>84.012698412698427</v>
      </c>
      <c r="R175" s="7">
        <f t="shared" si="31"/>
        <v>1</v>
      </c>
      <c r="S175" s="22">
        <v>26</v>
      </c>
      <c r="T175" s="23">
        <v>0.29166666666666669</v>
      </c>
      <c r="U175" s="23">
        <v>0.38541666666666669</v>
      </c>
      <c r="V175" s="12"/>
      <c r="W175" s="12"/>
      <c r="X175" s="2"/>
      <c r="Y175" s="2">
        <f t="shared" si="32"/>
        <v>0</v>
      </c>
      <c r="Z175" s="2"/>
      <c r="AA175" s="2">
        <f t="shared" si="33"/>
        <v>1.575</v>
      </c>
      <c r="AB175" s="8">
        <f t="shared" si="41"/>
        <v>2.25</v>
      </c>
      <c r="AC175" s="8">
        <f t="shared" si="35"/>
        <v>0.67500000000000004</v>
      </c>
      <c r="AD175" s="10">
        <f t="shared" si="36"/>
        <v>28</v>
      </c>
      <c r="AE175" s="2">
        <f t="shared" si="37"/>
        <v>90.48</v>
      </c>
      <c r="AF175" s="9">
        <f t="shared" si="38"/>
        <v>0.5714285714285714</v>
      </c>
      <c r="AG175" s="9">
        <f t="shared" si="39"/>
        <v>0.7</v>
      </c>
      <c r="AH175" s="70">
        <f t="shared" si="40"/>
        <v>0.39999999999999997</v>
      </c>
      <c r="AI175"/>
    </row>
    <row r="176" spans="1:35" x14ac:dyDescent="0.25">
      <c r="A176" s="22">
        <v>23</v>
      </c>
      <c r="B176" s="24">
        <v>46174</v>
      </c>
      <c r="C176" s="1" t="s">
        <v>38</v>
      </c>
      <c r="D176" s="6"/>
      <c r="E176" s="4" t="s">
        <v>39</v>
      </c>
      <c r="F176" s="5" t="s">
        <v>42</v>
      </c>
      <c r="G176" s="22">
        <v>3641.1</v>
      </c>
      <c r="H176" s="22">
        <v>2779.9999999999995</v>
      </c>
      <c r="I176" s="22">
        <v>17</v>
      </c>
      <c r="J176" s="22"/>
      <c r="K176" s="22"/>
      <c r="L176" s="22"/>
      <c r="M176" s="22"/>
      <c r="N176" s="4" cm="1">
        <f t="array" ref="N176">_xlfn.IFS(E176="MOLINOS CHAMPION S.F",42,E176="PROPALCOL",42,E176="MASTERTEC",42,E176="GANADERIA OVIA",42,E176="ENGORDE",40,E176="DESCARTES",40,E176="REPRODUCTORA",10,E176="BAJO PESO",40,E176="CHICKENCORP",42)</f>
        <v>10</v>
      </c>
      <c r="O176" s="7">
        <f t="shared" si="28"/>
        <v>0.76350553404191035</v>
      </c>
      <c r="P176" s="22">
        <f t="shared" si="29"/>
        <v>214.18235294117648</v>
      </c>
      <c r="Q176" s="22">
        <f t="shared" si="30"/>
        <v>163.52941176470586</v>
      </c>
      <c r="R176" s="7">
        <f t="shared" si="31"/>
        <v>1</v>
      </c>
      <c r="S176" s="22">
        <v>26</v>
      </c>
      <c r="T176" s="23">
        <v>0.64583333333333337</v>
      </c>
      <c r="U176" s="23">
        <v>0.72916666666666663</v>
      </c>
      <c r="V176" s="12"/>
      <c r="W176" s="12"/>
      <c r="X176" s="2"/>
      <c r="Y176" s="2">
        <f t="shared" si="32"/>
        <v>0</v>
      </c>
      <c r="Z176" s="2"/>
      <c r="AA176" s="2">
        <f t="shared" si="33"/>
        <v>1.7</v>
      </c>
      <c r="AB176" s="8">
        <f t="shared" si="41"/>
        <v>2</v>
      </c>
      <c r="AC176" s="8">
        <f t="shared" si="35"/>
        <v>0.30000000000000004</v>
      </c>
      <c r="AD176" s="10">
        <f t="shared" si="36"/>
        <v>8.5</v>
      </c>
      <c r="AE176" s="2">
        <f t="shared" si="37"/>
        <v>53.46</v>
      </c>
      <c r="AF176" s="9">
        <f t="shared" si="38"/>
        <v>0.82352941176470584</v>
      </c>
      <c r="AG176" s="9">
        <f t="shared" si="39"/>
        <v>0.85</v>
      </c>
      <c r="AH176" s="70">
        <f t="shared" si="40"/>
        <v>0.7</v>
      </c>
      <c r="AI176"/>
    </row>
    <row r="177" spans="1:35" x14ac:dyDescent="0.25">
      <c r="A177" s="22">
        <v>23</v>
      </c>
      <c r="B177" s="24">
        <v>46175</v>
      </c>
      <c r="C177" s="1" t="s">
        <v>34</v>
      </c>
      <c r="D177" s="1">
        <v>274</v>
      </c>
      <c r="E177" s="4" t="s">
        <v>37</v>
      </c>
      <c r="F177" s="5" t="s">
        <v>36</v>
      </c>
      <c r="G177" s="22">
        <v>18076.699999999997</v>
      </c>
      <c r="H177" s="22">
        <v>14251.900000000009</v>
      </c>
      <c r="I177" s="22">
        <v>169</v>
      </c>
      <c r="J177" s="22">
        <v>10</v>
      </c>
      <c r="K177" s="22" t="s">
        <v>50</v>
      </c>
      <c r="L177" s="22"/>
      <c r="M177" s="22"/>
      <c r="N177" s="4" cm="1">
        <f t="array" ref="N177">_xlfn.IFS(E177="MOLINOS CHAMPION S.F",42,E177="PROPALCOL",42,E177="MASTERTEC",42,E177="GANADERIA OVIA",42,E177="ENGORDE",40,E177="DESCARTES",40,E177="REPRODUCTORA",10,E177="BAJO PESO",40,E177="CHICKENCORP",42)</f>
        <v>40</v>
      </c>
      <c r="O177" s="7">
        <f t="shared" si="28"/>
        <v>0.78841270807171726</v>
      </c>
      <c r="P177" s="22">
        <f t="shared" si="29"/>
        <v>106.96272189349111</v>
      </c>
      <c r="Q177" s="22">
        <f t="shared" si="30"/>
        <v>84.330769230769278</v>
      </c>
      <c r="R177" s="7">
        <f t="shared" si="31"/>
        <v>0.94082840236686394</v>
      </c>
      <c r="S177" s="22">
        <v>35</v>
      </c>
      <c r="T177" s="23">
        <v>0.25694444444444442</v>
      </c>
      <c r="U177" s="23">
        <v>0.46527777777777779</v>
      </c>
      <c r="V177" s="12"/>
      <c r="W177" s="12"/>
      <c r="X177" s="2"/>
      <c r="Y177" s="2">
        <f t="shared" si="32"/>
        <v>0</v>
      </c>
      <c r="Z177" s="2"/>
      <c r="AA177" s="2">
        <f t="shared" si="33"/>
        <v>4.2249999999999996</v>
      </c>
      <c r="AB177" s="8">
        <f t="shared" si="41"/>
        <v>5</v>
      </c>
      <c r="AC177" s="8">
        <f t="shared" si="35"/>
        <v>0.77500000000000036</v>
      </c>
      <c r="AD177" s="10">
        <f t="shared" si="36"/>
        <v>33.799999999999997</v>
      </c>
      <c r="AE177" s="2">
        <f t="shared" si="37"/>
        <v>81.44</v>
      </c>
      <c r="AF177" s="9">
        <f t="shared" si="38"/>
        <v>0.81656804733727806</v>
      </c>
      <c r="AG177" s="9">
        <f t="shared" si="39"/>
        <v>0.84499999999999997</v>
      </c>
      <c r="AH177" s="70">
        <f t="shared" si="40"/>
        <v>0.64917159763313603</v>
      </c>
      <c r="AI177"/>
    </row>
    <row r="178" spans="1:35" x14ac:dyDescent="0.25">
      <c r="A178" s="22">
        <v>23</v>
      </c>
      <c r="B178" s="24">
        <v>46175</v>
      </c>
      <c r="C178" s="1" t="s">
        <v>34</v>
      </c>
      <c r="D178" s="1">
        <v>5470</v>
      </c>
      <c r="E178" s="4" t="s">
        <v>35</v>
      </c>
      <c r="F178" s="5" t="s">
        <v>36</v>
      </c>
      <c r="G178" s="22">
        <v>12381.299999999997</v>
      </c>
      <c r="H178" s="22">
        <v>9301.2999999999975</v>
      </c>
      <c r="I178" s="22">
        <v>120</v>
      </c>
      <c r="J178" s="22"/>
      <c r="K178" s="22"/>
      <c r="L178" s="22"/>
      <c r="M178" s="22"/>
      <c r="N178" s="4" cm="1">
        <f t="array" ref="N178">_xlfn.IFS(E178="MOLINOS CHAMPION S.F",42,E178="PROPALCOL",42,E178="MASTERTEC",42,E178="GANADERIA OVIA",42,E178="ENGORDE",40,E178="DESCARTES",40,E178="REPRODUCTORA",10,E178="BAJO PESO",40,E178="CHICKENCORP",42)</f>
        <v>42</v>
      </c>
      <c r="O178" s="7">
        <f t="shared" si="28"/>
        <v>0.75123775370922274</v>
      </c>
      <c r="P178" s="22">
        <f t="shared" si="29"/>
        <v>103.17749999999998</v>
      </c>
      <c r="Q178" s="22">
        <f t="shared" si="30"/>
        <v>77.510833333333309</v>
      </c>
      <c r="R178" s="7">
        <f t="shared" si="31"/>
        <v>1</v>
      </c>
      <c r="S178" s="22">
        <v>35</v>
      </c>
      <c r="T178" s="23">
        <v>0.48958333333333331</v>
      </c>
      <c r="U178" s="23">
        <v>0.61527777777777781</v>
      </c>
      <c r="V178" s="12"/>
      <c r="W178" s="12"/>
      <c r="X178" s="2"/>
      <c r="Y178" s="2">
        <f t="shared" si="32"/>
        <v>0</v>
      </c>
      <c r="Z178" s="2">
        <v>1</v>
      </c>
      <c r="AA178" s="2">
        <f t="shared" si="33"/>
        <v>2.8571428571428572</v>
      </c>
      <c r="AB178" s="8">
        <f t="shared" si="41"/>
        <v>2.0166666666666666</v>
      </c>
      <c r="AC178" s="8">
        <f t="shared" si="35"/>
        <v>0</v>
      </c>
      <c r="AD178" s="10">
        <f t="shared" si="36"/>
        <v>59.504132231404959</v>
      </c>
      <c r="AE178" s="2">
        <f t="shared" si="37"/>
        <v>131.78</v>
      </c>
      <c r="AF178" s="9">
        <f t="shared" si="38"/>
        <v>1</v>
      </c>
      <c r="AG178" s="9">
        <f t="shared" si="39"/>
        <v>1</v>
      </c>
      <c r="AH178" s="70">
        <f t="shared" si="40"/>
        <v>1</v>
      </c>
      <c r="AI178"/>
    </row>
    <row r="179" spans="1:35" x14ac:dyDescent="0.25">
      <c r="A179" s="22">
        <v>23</v>
      </c>
      <c r="B179" s="24">
        <v>46176</v>
      </c>
      <c r="C179" s="1" t="s">
        <v>34</v>
      </c>
      <c r="D179" s="1">
        <v>274</v>
      </c>
      <c r="E179" s="4" t="s">
        <v>37</v>
      </c>
      <c r="F179" s="5" t="s">
        <v>36</v>
      </c>
      <c r="G179" s="22">
        <v>6822.1</v>
      </c>
      <c r="H179" s="22">
        <v>5339.4</v>
      </c>
      <c r="I179" s="22">
        <v>60</v>
      </c>
      <c r="J179" s="22"/>
      <c r="K179" s="22"/>
      <c r="L179" s="22"/>
      <c r="M179" s="22"/>
      <c r="N179" s="4" cm="1">
        <f t="array" ref="N179">_xlfn.IFS(E179="MOLINOS CHAMPION S.F",42,E179="PROPALCOL",42,E179="MASTERTEC",42,E179="GANADERIA OVIA",42,E179="ENGORDE",40,E179="DESCARTES",40,E179="REPRODUCTORA",10,E179="BAJO PESO",40,E179="CHICKENCORP",42)</f>
        <v>40</v>
      </c>
      <c r="O179" s="7">
        <f t="shared" si="28"/>
        <v>0.7826622301050995</v>
      </c>
      <c r="P179" s="22">
        <f t="shared" si="29"/>
        <v>113.70166666666667</v>
      </c>
      <c r="Q179" s="22">
        <f t="shared" si="30"/>
        <v>88.99</v>
      </c>
      <c r="R179" s="7">
        <f t="shared" si="31"/>
        <v>1</v>
      </c>
      <c r="S179" s="22">
        <v>23</v>
      </c>
      <c r="T179" s="23">
        <v>0.4826388888888889</v>
      </c>
      <c r="U179" s="23">
        <v>0.58680555555555558</v>
      </c>
      <c r="V179" s="12"/>
      <c r="W179" s="12"/>
      <c r="X179" s="2"/>
      <c r="Y179" s="2">
        <f t="shared" si="32"/>
        <v>0</v>
      </c>
      <c r="Z179" s="2">
        <v>1</v>
      </c>
      <c r="AA179" s="2">
        <f t="shared" si="33"/>
        <v>1.5</v>
      </c>
      <c r="AB179" s="8">
        <f t="shared" si="41"/>
        <v>1.5</v>
      </c>
      <c r="AC179" s="8">
        <f t="shared" si="35"/>
        <v>0</v>
      </c>
      <c r="AD179" s="10">
        <f t="shared" si="36"/>
        <v>40</v>
      </c>
      <c r="AE179" s="2">
        <f t="shared" si="37"/>
        <v>154.77000000000001</v>
      </c>
      <c r="AF179" s="9">
        <f t="shared" si="38"/>
        <v>1</v>
      </c>
      <c r="AG179" s="9">
        <f t="shared" si="39"/>
        <v>1</v>
      </c>
      <c r="AH179" s="70">
        <f t="shared" si="40"/>
        <v>1</v>
      </c>
      <c r="AI179"/>
    </row>
    <row r="180" spans="1:35" x14ac:dyDescent="0.25">
      <c r="A180" s="22">
        <v>23</v>
      </c>
      <c r="B180" s="24">
        <v>46176</v>
      </c>
      <c r="C180" s="1" t="s">
        <v>34</v>
      </c>
      <c r="D180" s="1">
        <v>5470</v>
      </c>
      <c r="E180" s="4" t="s">
        <v>35</v>
      </c>
      <c r="F180" s="5" t="s">
        <v>36</v>
      </c>
      <c r="G180" s="22">
        <v>6458.9999999999991</v>
      </c>
      <c r="H180" s="22">
        <v>4939.8</v>
      </c>
      <c r="I180" s="22">
        <v>120</v>
      </c>
      <c r="J180" s="22"/>
      <c r="K180" s="22"/>
      <c r="L180" s="22"/>
      <c r="M180" s="22"/>
      <c r="N180" s="4" cm="1">
        <f t="array" ref="N180">_xlfn.IFS(E180="MOLINOS CHAMPION S.F",42,E180="PROPALCOL",42,E180="MASTERTEC",42,E180="GANADERIA OVIA",42,E180="ENGORDE",40,E180="DESCARTES",40,E180="REPRODUCTORA",10,E180="BAJO PESO",40,E180="CHICKENCORP",42)</f>
        <v>42</v>
      </c>
      <c r="O180" s="7">
        <f t="shared" si="28"/>
        <v>0.76479331165815156</v>
      </c>
      <c r="P180" s="22">
        <f t="shared" si="29"/>
        <v>53.824999999999996</v>
      </c>
      <c r="Q180" s="22">
        <f t="shared" si="30"/>
        <v>41.164999999999999</v>
      </c>
      <c r="R180" s="7">
        <f t="shared" si="31"/>
        <v>1</v>
      </c>
      <c r="S180" s="22">
        <v>23</v>
      </c>
      <c r="T180" s="23">
        <v>0.56944444444444442</v>
      </c>
      <c r="U180" s="23">
        <v>0.68263888888888891</v>
      </c>
      <c r="V180" s="12"/>
      <c r="W180" s="12"/>
      <c r="X180" s="2"/>
      <c r="Y180" s="2">
        <f t="shared" si="32"/>
        <v>0</v>
      </c>
      <c r="Z180" s="2"/>
      <c r="AA180" s="2">
        <f t="shared" si="33"/>
        <v>2.8571428571428572</v>
      </c>
      <c r="AB180" s="8">
        <f t="shared" si="41"/>
        <v>2.7166666666666668</v>
      </c>
      <c r="AC180" s="8">
        <f t="shared" si="35"/>
        <v>0</v>
      </c>
      <c r="AD180" s="10">
        <f t="shared" si="36"/>
        <v>44.171779141104295</v>
      </c>
      <c r="AE180" s="2">
        <f t="shared" si="37"/>
        <v>79.06</v>
      </c>
      <c r="AF180" s="9">
        <f t="shared" si="38"/>
        <v>1</v>
      </c>
      <c r="AG180" s="9">
        <f t="shared" si="39"/>
        <v>1</v>
      </c>
      <c r="AH180" s="70">
        <f t="shared" si="40"/>
        <v>1</v>
      </c>
      <c r="AI180"/>
    </row>
    <row r="181" spans="1:35" x14ac:dyDescent="0.25">
      <c r="A181" s="22">
        <v>23</v>
      </c>
      <c r="B181" s="24">
        <v>46176</v>
      </c>
      <c r="C181" s="1" t="s">
        <v>34</v>
      </c>
      <c r="D181" s="1">
        <v>274</v>
      </c>
      <c r="E181" s="4" t="s">
        <v>52</v>
      </c>
      <c r="F181" s="5" t="s">
        <v>36</v>
      </c>
      <c r="G181" s="22">
        <v>1183.1000000000001</v>
      </c>
      <c r="H181" s="22">
        <f>G181*0.8</f>
        <v>946.48000000000013</v>
      </c>
      <c r="I181" s="22">
        <v>13</v>
      </c>
      <c r="J181" s="22"/>
      <c r="K181" s="22"/>
      <c r="L181" s="22"/>
      <c r="M181" s="22"/>
      <c r="N181" s="4" cm="1">
        <f t="array" ref="N181">_xlfn.IFS(E181="MOLINOS CHAMPION S.F",42,E181="PROPALCOL",42,E181="MASTERTEC",42,E181="GANADERIA OVIA",42,E181="ENGORDE",40,E181="DESCARTES",40,E181="REPRODUCTORA",10,E181="BAJO PESO",40,E181="CHICKENCORP",42)</f>
        <v>42</v>
      </c>
      <c r="O181" s="7">
        <f t="shared" si="28"/>
        <v>0.8</v>
      </c>
      <c r="P181" s="22">
        <f t="shared" si="29"/>
        <v>91.007692307692324</v>
      </c>
      <c r="Q181" s="22">
        <f t="shared" si="30"/>
        <v>72.806153846153862</v>
      </c>
      <c r="R181" s="7">
        <f t="shared" si="31"/>
        <v>1</v>
      </c>
      <c r="S181" s="22">
        <v>23</v>
      </c>
      <c r="T181" s="23">
        <v>0.66666666666666663</v>
      </c>
      <c r="U181" s="23">
        <v>0.71875</v>
      </c>
      <c r="V181" s="12"/>
      <c r="W181" s="12"/>
      <c r="X181" s="2"/>
      <c r="Y181" s="2">
        <f t="shared" si="32"/>
        <v>0</v>
      </c>
      <c r="Z181" s="2"/>
      <c r="AA181" s="2">
        <f t="shared" si="33"/>
        <v>0.30952380952380953</v>
      </c>
      <c r="AB181" s="8">
        <f t="shared" si="41"/>
        <v>1.25</v>
      </c>
      <c r="AC181" s="8">
        <f t="shared" si="35"/>
        <v>0.94047619047619047</v>
      </c>
      <c r="AD181" s="10">
        <f t="shared" si="36"/>
        <v>10.4</v>
      </c>
      <c r="AE181" s="2">
        <f t="shared" si="37"/>
        <v>32.92</v>
      </c>
      <c r="AF181" s="9">
        <f t="shared" si="38"/>
        <v>0</v>
      </c>
      <c r="AG181" s="9">
        <f t="shared" si="39"/>
        <v>0.24761904761904763</v>
      </c>
      <c r="AH181" s="70">
        <f t="shared" si="40"/>
        <v>0</v>
      </c>
      <c r="AI181"/>
    </row>
    <row r="182" spans="1:35" x14ac:dyDescent="0.25">
      <c r="A182" s="22">
        <v>23</v>
      </c>
      <c r="B182" s="24">
        <v>46177</v>
      </c>
      <c r="C182" s="1" t="s">
        <v>34</v>
      </c>
      <c r="D182" s="1">
        <v>274</v>
      </c>
      <c r="E182" s="4" t="s">
        <v>37</v>
      </c>
      <c r="F182" s="5" t="s">
        <v>36</v>
      </c>
      <c r="G182" s="22">
        <v>21122.399999999998</v>
      </c>
      <c r="H182" s="22">
        <v>16612.80000000001</v>
      </c>
      <c r="I182" s="22">
        <v>210</v>
      </c>
      <c r="J182" s="22">
        <v>20</v>
      </c>
      <c r="K182" s="22" t="s">
        <v>50</v>
      </c>
      <c r="L182" s="22"/>
      <c r="M182" s="22"/>
      <c r="N182" s="4" cm="1">
        <f t="array" ref="N182">_xlfn.IFS(E182="MOLINOS CHAMPION S.F",42,E182="PROPALCOL",42,E182="MASTERTEC",42,E182="GANADERIA OVIA",42,E182="ENGORDE",40,E182="DESCARTES",40,E182="REPRODUCTORA",10,E182="BAJO PESO",40,E182="CHICKENCORP",42)</f>
        <v>40</v>
      </c>
      <c r="O182" s="7">
        <f t="shared" si="28"/>
        <v>0.78650153391660094</v>
      </c>
      <c r="P182" s="22">
        <f t="shared" si="29"/>
        <v>100.58285714285714</v>
      </c>
      <c r="Q182" s="22">
        <f t="shared" si="30"/>
        <v>79.10857142857148</v>
      </c>
      <c r="R182" s="7">
        <f t="shared" si="31"/>
        <v>0.90476190476190477</v>
      </c>
      <c r="S182" s="22">
        <v>24</v>
      </c>
      <c r="T182" s="23">
        <v>0.25</v>
      </c>
      <c r="U182" s="23">
        <v>0.58680555555555558</v>
      </c>
      <c r="V182" s="12"/>
      <c r="W182" s="12"/>
      <c r="X182" s="2"/>
      <c r="Y182" s="2">
        <f t="shared" si="32"/>
        <v>0</v>
      </c>
      <c r="Z182" s="2">
        <v>1</v>
      </c>
      <c r="AA182" s="2">
        <f t="shared" si="33"/>
        <v>5.25</v>
      </c>
      <c r="AB182" s="8">
        <f t="shared" si="41"/>
        <v>7.0833333333333339</v>
      </c>
      <c r="AC182" s="8">
        <f t="shared" si="35"/>
        <v>1.8333333333333339</v>
      </c>
      <c r="AD182" s="10">
        <f t="shared" si="36"/>
        <v>29.647058823529409</v>
      </c>
      <c r="AE182" s="2">
        <f t="shared" si="37"/>
        <v>97.72</v>
      </c>
      <c r="AF182" s="9">
        <f t="shared" si="38"/>
        <v>0.6507936507936507</v>
      </c>
      <c r="AG182" s="9">
        <f t="shared" si="39"/>
        <v>0.74117647058823521</v>
      </c>
      <c r="AH182" s="70">
        <f t="shared" si="40"/>
        <v>0.43641456582633048</v>
      </c>
      <c r="AI182"/>
    </row>
    <row r="183" spans="1:35" x14ac:dyDescent="0.25">
      <c r="A183" s="22">
        <v>23</v>
      </c>
      <c r="B183" s="24">
        <v>46179</v>
      </c>
      <c r="C183" s="1" t="s">
        <v>34</v>
      </c>
      <c r="D183" s="1">
        <v>274</v>
      </c>
      <c r="E183" s="4" t="s">
        <v>37</v>
      </c>
      <c r="F183" s="5" t="s">
        <v>36</v>
      </c>
      <c r="G183" s="22">
        <v>19156.150000000001</v>
      </c>
      <c r="H183" s="22">
        <v>15280.649999999998</v>
      </c>
      <c r="I183" s="22">
        <v>174</v>
      </c>
      <c r="J183" s="22">
        <v>10</v>
      </c>
      <c r="K183" s="22" t="s">
        <v>50</v>
      </c>
      <c r="L183" s="22"/>
      <c r="M183" s="22"/>
      <c r="N183" s="4" cm="1">
        <f t="array" ref="N183">_xlfn.IFS(E183="MOLINOS CHAMPION S.F",42,E183="PROPALCOL",42,E183="MASTERTEC",42,E183="GANADERIA OVIA",42,E183="ENGORDE",40,E183="DESCARTES",40,E183="REPRODUCTORA",10,E183="BAJO PESO",40,E183="CHICKENCORP",42)</f>
        <v>40</v>
      </c>
      <c r="O183" s="7">
        <f t="shared" si="28"/>
        <v>0.79768899282997874</v>
      </c>
      <c r="P183" s="22">
        <f t="shared" si="29"/>
        <v>110.09281609195403</v>
      </c>
      <c r="Q183" s="22">
        <f t="shared" si="30"/>
        <v>87.819827586206884</v>
      </c>
      <c r="R183" s="7">
        <f t="shared" si="31"/>
        <v>0.94252873563218387</v>
      </c>
      <c r="S183" s="22">
        <v>32</v>
      </c>
      <c r="T183" s="23">
        <v>0.25</v>
      </c>
      <c r="U183" s="23">
        <v>0.49930555555555556</v>
      </c>
      <c r="V183" s="12"/>
      <c r="W183" s="12"/>
      <c r="X183" s="2"/>
      <c r="Y183" s="2">
        <f t="shared" si="32"/>
        <v>0</v>
      </c>
      <c r="Z183" s="2"/>
      <c r="AA183" s="2">
        <f t="shared" si="33"/>
        <v>4.3499999999999996</v>
      </c>
      <c r="AB183" s="8">
        <f t="shared" si="41"/>
        <v>5.9833333333333334</v>
      </c>
      <c r="AC183" s="8">
        <f t="shared" ref="AC183:AC188" si="42">IF(AB183&gt;AA183,AB183-AA183,0)</f>
        <v>1.6333333333333337</v>
      </c>
      <c r="AD183" s="10">
        <f t="shared" si="36"/>
        <v>29.080779944289695</v>
      </c>
      <c r="AE183" s="2">
        <f t="shared" si="37"/>
        <v>79.81</v>
      </c>
      <c r="AF183" s="9">
        <f t="shared" si="38"/>
        <v>0.6245210727969347</v>
      </c>
      <c r="AG183" s="9">
        <f t="shared" si="39"/>
        <v>0.72701949860724235</v>
      </c>
      <c r="AH183" s="70">
        <f t="shared" si="40"/>
        <v>0.4279448019722728</v>
      </c>
      <c r="AI183"/>
    </row>
    <row r="184" spans="1:35" x14ac:dyDescent="0.25">
      <c r="A184" s="22">
        <v>24</v>
      </c>
      <c r="B184" s="24">
        <v>46179</v>
      </c>
      <c r="C184" s="1" t="s">
        <v>38</v>
      </c>
      <c r="D184" s="6"/>
      <c r="E184" s="4" t="s">
        <v>39</v>
      </c>
      <c r="F184" s="5" t="s">
        <v>42</v>
      </c>
      <c r="G184" s="22">
        <v>3374.8</v>
      </c>
      <c r="H184" s="22">
        <v>2568</v>
      </c>
      <c r="I184" s="22">
        <v>15</v>
      </c>
      <c r="J184" s="22"/>
      <c r="K184" s="22"/>
      <c r="L184" s="22"/>
      <c r="M184" s="22"/>
      <c r="N184" s="4" cm="1">
        <f t="array" ref="N184">_xlfn.IFS(E184="MOLINOS CHAMPION S.F",42,E184="PROPALCOL",42,E184="MASTERTEC",42,E184="GANADERIA OVIA",42,E184="ENGORDE",40,E184="DESCARTES",40,E184="REPRODUCTORA",10,E184="BAJO PESO",40,E184="CHICKENCORP",42)</f>
        <v>10</v>
      </c>
      <c r="O184" s="7">
        <f t="shared" si="28"/>
        <v>0.7609339812729643</v>
      </c>
      <c r="P184" s="22">
        <f t="shared" si="29"/>
        <v>224.98666666666668</v>
      </c>
      <c r="Q184" s="22">
        <f t="shared" si="30"/>
        <v>171.2</v>
      </c>
      <c r="R184" s="7">
        <f t="shared" si="31"/>
        <v>1</v>
      </c>
      <c r="S184" s="22">
        <v>32</v>
      </c>
      <c r="T184" s="23">
        <v>0.4375</v>
      </c>
      <c r="U184" s="23">
        <v>0.48958333333333331</v>
      </c>
      <c r="V184" s="12"/>
      <c r="W184" s="12"/>
      <c r="X184" s="2"/>
      <c r="Y184" s="2">
        <f t="shared" si="32"/>
        <v>0</v>
      </c>
      <c r="Z184" s="2">
        <v>1</v>
      </c>
      <c r="AA184" s="2">
        <f t="shared" si="33"/>
        <v>1.5</v>
      </c>
      <c r="AB184" s="8">
        <f t="shared" si="41"/>
        <v>0.25</v>
      </c>
      <c r="AC184" s="8">
        <f t="shared" si="42"/>
        <v>0</v>
      </c>
      <c r="AD184" s="10">
        <f t="shared" si="36"/>
        <v>60</v>
      </c>
      <c r="AE184" s="2">
        <f t="shared" si="37"/>
        <v>321</v>
      </c>
      <c r="AF184" s="9">
        <f t="shared" si="38"/>
        <v>1</v>
      </c>
      <c r="AG184" s="9">
        <f t="shared" si="39"/>
        <v>1</v>
      </c>
      <c r="AH184" s="70">
        <f t="shared" si="40"/>
        <v>1</v>
      </c>
      <c r="AI184"/>
    </row>
    <row r="185" spans="1:35" x14ac:dyDescent="0.25">
      <c r="A185" s="22">
        <v>24</v>
      </c>
      <c r="B185" s="24">
        <v>46181</v>
      </c>
      <c r="C185" s="1" t="s">
        <v>34</v>
      </c>
      <c r="D185" s="1">
        <v>5470</v>
      </c>
      <c r="E185" s="4" t="s">
        <v>35</v>
      </c>
      <c r="F185" s="5" t="s">
        <v>36</v>
      </c>
      <c r="G185" s="22">
        <v>13842.000000000005</v>
      </c>
      <c r="H185" s="22">
        <v>10440.9</v>
      </c>
      <c r="I185" s="22">
        <v>120</v>
      </c>
      <c r="J185" s="22"/>
      <c r="K185" s="22"/>
      <c r="L185" s="22"/>
      <c r="M185" s="22"/>
      <c r="N185" s="4" cm="1">
        <f t="array" ref="N185">_xlfn.IFS(E185="MOLINOS CHAMPION S.F",42,E185="PROPALCOL",42,E185="MASTERTEC",42,E185="GANADERIA OVIA",42,E185="ENGORDE",40,E185="DESCARTES",40,E185="REPRODUCTORA",10,E185="BAJO PESO",40,E185="CHICKENCORP",42)</f>
        <v>42</v>
      </c>
      <c r="O185" s="7">
        <f t="shared" si="28"/>
        <v>0.75429128738621554</v>
      </c>
      <c r="P185" s="22">
        <f t="shared" si="29"/>
        <v>115.35000000000005</v>
      </c>
      <c r="Q185" s="22">
        <f t="shared" si="30"/>
        <v>87.007499999999993</v>
      </c>
      <c r="R185" s="7">
        <f t="shared" si="31"/>
        <v>1</v>
      </c>
      <c r="S185" s="22">
        <v>34</v>
      </c>
      <c r="T185" s="23">
        <v>0.55555555555555558</v>
      </c>
      <c r="U185" s="23">
        <v>0.70694444444444449</v>
      </c>
      <c r="V185" s="12"/>
      <c r="W185" s="12"/>
      <c r="X185" s="2"/>
      <c r="Y185" s="2">
        <f t="shared" si="32"/>
        <v>0</v>
      </c>
      <c r="Z185" s="2">
        <v>1</v>
      </c>
      <c r="AA185" s="2">
        <f t="shared" si="33"/>
        <v>2.8571428571428572</v>
      </c>
      <c r="AB185" s="8">
        <f t="shared" si="41"/>
        <v>2.6333333333333333</v>
      </c>
      <c r="AC185" s="8">
        <f t="shared" si="42"/>
        <v>0</v>
      </c>
      <c r="AD185" s="10">
        <f t="shared" si="36"/>
        <v>45.569620253164558</v>
      </c>
      <c r="AE185" s="2">
        <f t="shared" si="37"/>
        <v>116.61</v>
      </c>
      <c r="AF185" s="9">
        <f t="shared" si="38"/>
        <v>1</v>
      </c>
      <c r="AG185" s="9">
        <f t="shared" si="39"/>
        <v>1</v>
      </c>
      <c r="AH185" s="70">
        <f t="shared" si="40"/>
        <v>1</v>
      </c>
      <c r="AI185"/>
    </row>
    <row r="186" spans="1:35" x14ac:dyDescent="0.25">
      <c r="A186" s="22">
        <v>24</v>
      </c>
      <c r="B186" s="24">
        <v>46181</v>
      </c>
      <c r="C186" s="1" t="s">
        <v>34</v>
      </c>
      <c r="D186" s="1">
        <v>274</v>
      </c>
      <c r="E186" s="4" t="s">
        <v>51</v>
      </c>
      <c r="F186" s="5" t="s">
        <v>36</v>
      </c>
      <c r="G186" s="22">
        <v>6043.6999999999989</v>
      </c>
      <c r="H186" s="22">
        <f>G186*0.8</f>
        <v>4834.9599999999991</v>
      </c>
      <c r="I186" s="22">
        <v>60</v>
      </c>
      <c r="J186" s="22"/>
      <c r="K186" s="22"/>
      <c r="L186" s="22"/>
      <c r="M186" s="22"/>
      <c r="N186" s="4" cm="1">
        <f t="array" ref="N186">_xlfn.IFS(E186="MOLINOS CHAMPION S.F",42,E186="PROPALCOL",42,E186="MASTERTEC",42,E186="GANADERIA OVIA",42,E186="ENGORDE",40,E186="DESCARTES",40,E186="REPRODUCTORA",10,E186="BAJO PESO",40,E186="CHICKENCORP",42)</f>
        <v>42</v>
      </c>
      <c r="O186" s="7">
        <f t="shared" si="28"/>
        <v>0.8</v>
      </c>
      <c r="P186" s="22">
        <f t="shared" si="29"/>
        <v>100.72833333333331</v>
      </c>
      <c r="Q186" s="22">
        <f t="shared" si="30"/>
        <v>80.582666666666654</v>
      </c>
      <c r="R186" s="7">
        <f t="shared" si="31"/>
        <v>1</v>
      </c>
      <c r="S186" s="22">
        <v>34</v>
      </c>
      <c r="T186" s="23">
        <v>0.44444444444444442</v>
      </c>
      <c r="U186" s="23">
        <v>0.53125</v>
      </c>
      <c r="V186" s="12"/>
      <c r="W186" s="12"/>
      <c r="X186" s="2"/>
      <c r="Y186" s="2">
        <f t="shared" si="32"/>
        <v>0</v>
      </c>
      <c r="Z186" s="2"/>
      <c r="AA186" s="2">
        <f t="shared" si="33"/>
        <v>1.4285714285714286</v>
      </c>
      <c r="AB186" s="8">
        <f t="shared" si="41"/>
        <v>2.0833333333333335</v>
      </c>
      <c r="AC186" s="8">
        <f t="shared" si="42"/>
        <v>0.65476190476190488</v>
      </c>
      <c r="AD186" s="10">
        <f t="shared" si="36"/>
        <v>28.799999999999997</v>
      </c>
      <c r="AE186" s="2">
        <f t="shared" si="37"/>
        <v>68.260000000000005</v>
      </c>
      <c r="AF186" s="9">
        <f t="shared" si="38"/>
        <v>0.54166666666666663</v>
      </c>
      <c r="AG186" s="9">
        <f t="shared" si="39"/>
        <v>0.68571428571428561</v>
      </c>
      <c r="AH186" s="70">
        <f t="shared" si="40"/>
        <v>0.37142857142857133</v>
      </c>
      <c r="AI186"/>
    </row>
    <row r="187" spans="1:35" x14ac:dyDescent="0.25">
      <c r="A187" s="22">
        <v>24</v>
      </c>
      <c r="B187" s="24">
        <v>46181</v>
      </c>
      <c r="C187" s="1" t="s">
        <v>34</v>
      </c>
      <c r="D187" s="1">
        <v>274</v>
      </c>
      <c r="E187" s="4" t="s">
        <v>37</v>
      </c>
      <c r="F187" s="5" t="s">
        <v>36</v>
      </c>
      <c r="G187" s="22">
        <v>19443.749999999996</v>
      </c>
      <c r="H187" s="22">
        <v>14883.199999999999</v>
      </c>
      <c r="I187" s="22">
        <v>180</v>
      </c>
      <c r="J187" s="22">
        <v>20</v>
      </c>
      <c r="K187" s="22" t="s">
        <v>50</v>
      </c>
      <c r="L187" s="22"/>
      <c r="M187" s="22"/>
      <c r="N187" s="4" cm="1">
        <f t="array" ref="N187">_xlfn.IFS(E187="MOLINOS CHAMPION S.F",42,E187="PROPALCOL",42,E187="MASTERTEC",42,E187="GANADERIA OVIA",42,E187="ENGORDE",40,E187="DESCARTES",40,E187="REPRODUCTORA",10,E187="BAJO PESO",40,E187="CHICKENCORP",42)</f>
        <v>40</v>
      </c>
      <c r="O187" s="7">
        <f t="shared" si="28"/>
        <v>0.76544905175184841</v>
      </c>
      <c r="P187" s="22">
        <f t="shared" si="29"/>
        <v>108.02083333333331</v>
      </c>
      <c r="Q187" s="22">
        <f t="shared" si="30"/>
        <v>82.684444444444438</v>
      </c>
      <c r="R187" s="7">
        <f t="shared" si="31"/>
        <v>0.88888888888888884</v>
      </c>
      <c r="S187" s="22">
        <v>34</v>
      </c>
      <c r="T187" s="23">
        <v>0.25347222222222221</v>
      </c>
      <c r="U187" s="23">
        <v>0.46527777777777779</v>
      </c>
      <c r="V187" s="12"/>
      <c r="W187" s="12"/>
      <c r="X187" s="2"/>
      <c r="Y187" s="2">
        <f t="shared" si="32"/>
        <v>0</v>
      </c>
      <c r="Z187" s="2"/>
      <c r="AA187" s="2">
        <f t="shared" si="33"/>
        <v>4.5</v>
      </c>
      <c r="AB187" s="8">
        <f t="shared" si="41"/>
        <v>5.083333333333333</v>
      </c>
      <c r="AC187" s="8">
        <f t="shared" si="42"/>
        <v>0.58333333333333304</v>
      </c>
      <c r="AD187" s="10">
        <f t="shared" si="36"/>
        <v>35.409836065573771</v>
      </c>
      <c r="AE187" s="2">
        <f t="shared" si="37"/>
        <v>86.11</v>
      </c>
      <c r="AF187" s="9">
        <f t="shared" si="38"/>
        <v>0.87037037037037046</v>
      </c>
      <c r="AG187" s="9">
        <f t="shared" si="39"/>
        <v>0.88524590163934425</v>
      </c>
      <c r="AH187" s="70">
        <f t="shared" si="40"/>
        <v>0.68488160291438982</v>
      </c>
      <c r="AI187"/>
    </row>
    <row r="188" spans="1:35" x14ac:dyDescent="0.25">
      <c r="A188" s="28">
        <v>24</v>
      </c>
      <c r="B188" s="29">
        <v>46182</v>
      </c>
      <c r="C188" s="1" t="s">
        <v>34</v>
      </c>
      <c r="D188" s="1">
        <v>5470</v>
      </c>
      <c r="E188" s="1" t="s">
        <v>35</v>
      </c>
      <c r="F188" s="30" t="s">
        <v>36</v>
      </c>
      <c r="G188" s="28">
        <v>13559.65</v>
      </c>
      <c r="H188" s="28">
        <v>10242.950000000001</v>
      </c>
      <c r="I188" s="28">
        <v>120</v>
      </c>
      <c r="J188" s="28"/>
      <c r="K188" s="28"/>
      <c r="L188" s="28"/>
      <c r="M188" s="28"/>
      <c r="N188" s="4" cm="1">
        <f t="array" ref="N188">_xlfn.IFS(E188="MOLINOS CHAMPION S.F",42,E188="PROPALCOL",42,E188="MASTERTEC",42,E188="GANADERIA OVIA",42,E188="ENGORDE",40,E188="DESCARTES",40,E188="REPRODUCTORA",10,E188="BAJO PESO",40,E188="CHICKENCORP",42)</f>
        <v>42</v>
      </c>
      <c r="O188" s="7">
        <f t="shared" si="28"/>
        <v>0.75539929127964223</v>
      </c>
      <c r="P188" s="22">
        <f t="shared" si="29"/>
        <v>112.99708333333334</v>
      </c>
      <c r="Q188" s="22">
        <f t="shared" si="30"/>
        <v>85.357916666666668</v>
      </c>
      <c r="R188" s="7">
        <f t="shared" si="31"/>
        <v>1</v>
      </c>
      <c r="S188" s="28">
        <v>34</v>
      </c>
      <c r="T188" s="32">
        <v>0.4861111111111111</v>
      </c>
      <c r="U188" s="32">
        <v>0.61111111111111116</v>
      </c>
      <c r="V188" s="12"/>
      <c r="W188" s="12"/>
      <c r="X188" s="2"/>
      <c r="Y188" s="2">
        <f t="shared" si="32"/>
        <v>0</v>
      </c>
      <c r="Z188" s="33">
        <v>1</v>
      </c>
      <c r="AA188" s="2">
        <f t="shared" si="33"/>
        <v>2.8571428571428572</v>
      </c>
      <c r="AB188" s="8">
        <f t="shared" si="41"/>
        <v>2</v>
      </c>
      <c r="AC188" s="8">
        <f t="shared" si="42"/>
        <v>0</v>
      </c>
      <c r="AD188" s="10">
        <f t="shared" si="36"/>
        <v>60</v>
      </c>
      <c r="AE188" s="2">
        <f t="shared" si="37"/>
        <v>150.63</v>
      </c>
      <c r="AF188" s="9">
        <f t="shared" si="38"/>
        <v>1</v>
      </c>
      <c r="AG188" s="9">
        <f t="shared" si="39"/>
        <v>1</v>
      </c>
      <c r="AH188" s="70">
        <f t="shared" si="40"/>
        <v>1</v>
      </c>
    </row>
    <row r="189" spans="1:35" x14ac:dyDescent="0.25">
      <c r="A189" s="28">
        <v>24</v>
      </c>
      <c r="B189" s="29">
        <v>46182</v>
      </c>
      <c r="C189" s="1" t="s">
        <v>34</v>
      </c>
      <c r="D189" s="1">
        <v>274</v>
      </c>
      <c r="E189" s="1" t="s">
        <v>37</v>
      </c>
      <c r="F189" s="30" t="s">
        <v>36</v>
      </c>
      <c r="G189" s="28">
        <v>12513.1</v>
      </c>
      <c r="H189" s="28">
        <v>9930.2000000000007</v>
      </c>
      <c r="I189" s="28">
        <v>120</v>
      </c>
      <c r="J189" s="28">
        <v>15</v>
      </c>
      <c r="K189" s="28" t="s">
        <v>50</v>
      </c>
      <c r="L189" s="28"/>
      <c r="M189" s="28"/>
      <c r="N189" s="4" cm="1">
        <f t="array" ref="N189">_xlfn.IFS(E189="MOLINOS CHAMPION S.F",42,E189="PROPALCOL",42,E189="MASTERTEC",42,E189="GANADERIA OVIA",42,E189="ENGORDE",40,E189="DESCARTES",40,E189="REPRODUCTORA",10,E189="BAJO PESO",40,E189="CHICKENCORP",42)</f>
        <v>40</v>
      </c>
      <c r="O189" s="7">
        <f t="shared" si="28"/>
        <v>0.79358432362883702</v>
      </c>
      <c r="P189" s="22">
        <f t="shared" si="29"/>
        <v>104.27583333333334</v>
      </c>
      <c r="Q189" s="22">
        <f t="shared" si="30"/>
        <v>82.751666666666679</v>
      </c>
      <c r="R189" s="7">
        <f t="shared" si="31"/>
        <v>0.875</v>
      </c>
      <c r="S189" s="28">
        <v>34</v>
      </c>
      <c r="T189" s="32">
        <v>0.25416666666666665</v>
      </c>
      <c r="U189" s="32">
        <v>0.4548611111111111</v>
      </c>
      <c r="V189" s="12"/>
      <c r="W189" s="12"/>
      <c r="X189" s="2"/>
      <c r="Y189" s="2">
        <f t="shared" si="32"/>
        <v>0</v>
      </c>
      <c r="Z189" s="33"/>
      <c r="AA189" s="2">
        <f t="shared" si="33"/>
        <v>3</v>
      </c>
      <c r="AB189" s="8">
        <f t="shared" si="41"/>
        <v>4.8166666666666664</v>
      </c>
      <c r="AC189" s="8">
        <f>IF(AB189&gt;AA189,AB189-AA189,0)</f>
        <v>1.8166666666666664</v>
      </c>
      <c r="AD189" s="10">
        <f t="shared" si="36"/>
        <v>24.913494809688583</v>
      </c>
      <c r="AE189" s="2">
        <f t="shared" si="37"/>
        <v>60.64</v>
      </c>
      <c r="AF189" s="9">
        <f>IF(AA189-AC189&lt;0,0,(AA189-AC189)/AA189)</f>
        <v>0.39444444444444454</v>
      </c>
      <c r="AG189" s="9">
        <f t="shared" si="39"/>
        <v>0.62283737024221453</v>
      </c>
      <c r="AH189" s="70">
        <f t="shared" si="40"/>
        <v>0.21496539792387551</v>
      </c>
    </row>
    <row r="190" spans="1:35" x14ac:dyDescent="0.25">
      <c r="A190" s="28">
        <v>24</v>
      </c>
      <c r="B190" s="29">
        <v>46183</v>
      </c>
      <c r="C190" s="1" t="s">
        <v>34</v>
      </c>
      <c r="D190" s="1">
        <v>5470</v>
      </c>
      <c r="E190" s="1" t="s">
        <v>35</v>
      </c>
      <c r="F190" s="30" t="s">
        <v>36</v>
      </c>
      <c r="G190" s="28">
        <v>6274.2</v>
      </c>
      <c r="H190" s="28">
        <v>4662.1499999999996</v>
      </c>
      <c r="I190" s="28">
        <v>60</v>
      </c>
      <c r="J190" s="28"/>
      <c r="K190" s="28"/>
      <c r="L190" s="28"/>
      <c r="M190" s="28"/>
      <c r="N190" s="4" cm="1">
        <f t="array" ref="N190">_xlfn.IFS(E190="MOLINOS CHAMPION S.F",42,E190="PROPALCOL",42,E190="MASTERTEC",42,E190="GANADERIA OVIA",42,E190="ENGORDE",40,E190="DESCARTES",40,E190="REPRODUCTORA",10,E190="BAJO PESO",40,E190="CHICKENCORP",42)</f>
        <v>42</v>
      </c>
      <c r="O190" s="7">
        <f t="shared" si="28"/>
        <v>0.74306684517548049</v>
      </c>
      <c r="P190" s="22">
        <f t="shared" si="29"/>
        <v>104.57</v>
      </c>
      <c r="Q190" s="22">
        <f t="shared" si="30"/>
        <v>77.702500000000001</v>
      </c>
      <c r="R190" s="7">
        <f t="shared" si="31"/>
        <v>1</v>
      </c>
      <c r="S190" s="28">
        <v>27</v>
      </c>
      <c r="T190" s="32">
        <v>0.52430555555555558</v>
      </c>
      <c r="U190" s="32">
        <v>0.61111111111111116</v>
      </c>
      <c r="V190" s="12"/>
      <c r="W190" s="12"/>
      <c r="X190" s="2"/>
      <c r="Y190" s="2">
        <f t="shared" si="32"/>
        <v>0</v>
      </c>
      <c r="Z190" s="33"/>
      <c r="AA190" s="2">
        <f t="shared" si="33"/>
        <v>1.4285714285714286</v>
      </c>
      <c r="AB190" s="8">
        <f t="shared" si="41"/>
        <v>2.0833333333333335</v>
      </c>
      <c r="AC190" s="8">
        <f t="shared" ref="AC190:AC192" si="43">IF(AB190&gt;AA190,AB190-AA190,0)</f>
        <v>0.65476190476190488</v>
      </c>
      <c r="AD190" s="10">
        <f t="shared" si="36"/>
        <v>28.799999999999997</v>
      </c>
      <c r="AE190" s="2">
        <f t="shared" si="37"/>
        <v>82.88</v>
      </c>
      <c r="AF190" s="9">
        <f t="shared" ref="AF190:AF192" si="44">IF(AA190-AC190&lt;0,0,(AA190-AC190)/AA190)</f>
        <v>0.54166666666666663</v>
      </c>
      <c r="AG190" s="9">
        <f t="shared" si="39"/>
        <v>0.68571428571428561</v>
      </c>
      <c r="AH190" s="70">
        <f t="shared" si="40"/>
        <v>0.37142857142857133</v>
      </c>
    </row>
    <row r="191" spans="1:35" x14ac:dyDescent="0.25">
      <c r="A191" s="28">
        <v>24</v>
      </c>
      <c r="B191" s="29">
        <v>46183</v>
      </c>
      <c r="C191" s="1" t="s">
        <v>34</v>
      </c>
      <c r="D191" s="1">
        <v>274</v>
      </c>
      <c r="E191" s="1" t="s">
        <v>37</v>
      </c>
      <c r="F191" s="30" t="s">
        <v>36</v>
      </c>
      <c r="G191" s="28">
        <v>19483.900000000001</v>
      </c>
      <c r="H191" s="28">
        <v>15600.85</v>
      </c>
      <c r="I191" s="28">
        <v>170</v>
      </c>
      <c r="J191" s="28">
        <v>12</v>
      </c>
      <c r="K191" s="28" t="s">
        <v>50</v>
      </c>
      <c r="L191" s="28"/>
      <c r="M191" s="28"/>
      <c r="N191" s="4" cm="1">
        <f t="array" ref="N191">_xlfn.IFS(E191="MOLINOS CHAMPION S.F",42,E191="PROPALCOL",42,E191="MASTERTEC",42,E191="GANADERIA OVIA",42,E191="ENGORDE",40,E191="DESCARTES",40,E191="REPRODUCTORA",10,E191="BAJO PESO",40,E191="CHICKENCORP",42)</f>
        <v>40</v>
      </c>
      <c r="O191" s="7">
        <f t="shared" si="28"/>
        <v>0.80070468438043718</v>
      </c>
      <c r="P191" s="22">
        <f t="shared" si="29"/>
        <v>114.61117647058825</v>
      </c>
      <c r="Q191" s="22">
        <f t="shared" si="30"/>
        <v>91.769705882352937</v>
      </c>
      <c r="R191" s="7">
        <f t="shared" si="31"/>
        <v>0.92941176470588238</v>
      </c>
      <c r="S191" s="28">
        <v>27</v>
      </c>
      <c r="T191" s="32">
        <v>0.29166666666666669</v>
      </c>
      <c r="U191" s="32">
        <v>0.49444444444444446</v>
      </c>
      <c r="V191" s="12"/>
      <c r="W191" s="12"/>
      <c r="X191" s="2"/>
      <c r="Y191" s="2">
        <f t="shared" si="32"/>
        <v>0</v>
      </c>
      <c r="Z191" s="33">
        <v>1</v>
      </c>
      <c r="AA191" s="2">
        <f t="shared" si="33"/>
        <v>4.25</v>
      </c>
      <c r="AB191" s="8">
        <f t="shared" si="41"/>
        <v>3.8666666666666671</v>
      </c>
      <c r="AC191" s="8">
        <f t="shared" si="43"/>
        <v>0</v>
      </c>
      <c r="AD191" s="10">
        <f t="shared" si="36"/>
        <v>43.965517241379303</v>
      </c>
      <c r="AE191" s="2">
        <f t="shared" si="37"/>
        <v>149.43</v>
      </c>
      <c r="AF191" s="9">
        <f t="shared" si="44"/>
        <v>1</v>
      </c>
      <c r="AG191" s="9">
        <f t="shared" si="39"/>
        <v>1</v>
      </c>
      <c r="AH191" s="70">
        <f t="shared" si="40"/>
        <v>0.92941176470588238</v>
      </c>
    </row>
    <row r="192" spans="1:35" x14ac:dyDescent="0.25">
      <c r="A192" s="28">
        <v>24</v>
      </c>
      <c r="B192" s="29">
        <v>46184</v>
      </c>
      <c r="C192" s="1" t="s">
        <v>34</v>
      </c>
      <c r="D192" s="1">
        <v>274</v>
      </c>
      <c r="E192" s="1" t="s">
        <v>37</v>
      </c>
      <c r="F192" s="30" t="s">
        <v>36</v>
      </c>
      <c r="G192" s="28">
        <v>19128.25</v>
      </c>
      <c r="H192" s="28">
        <v>15095.85</v>
      </c>
      <c r="I192" s="28">
        <v>181</v>
      </c>
      <c r="J192" s="28">
        <v>15</v>
      </c>
      <c r="K192" s="28" t="s">
        <v>50</v>
      </c>
      <c r="L192" s="28"/>
      <c r="M192" s="28"/>
      <c r="N192" s="4" cm="1">
        <f t="array" ref="N192">_xlfn.IFS(E192="MOLINOS CHAMPION S.F",42,E192="PROPALCOL",42,E192="MASTERTEC",42,E192="GANADERIA OVIA",42,E192="ENGORDE",40,E192="DESCARTES",40,E192="REPRODUCTORA",10,E192="BAJO PESO",40,E192="CHICKENCORP",42)</f>
        <v>40</v>
      </c>
      <c r="O192" s="7">
        <f t="shared" si="28"/>
        <v>0.78919137924274307</v>
      </c>
      <c r="P192" s="22">
        <f t="shared" si="29"/>
        <v>105.68093922651934</v>
      </c>
      <c r="Q192" s="22">
        <f t="shared" si="30"/>
        <v>83.402486187845312</v>
      </c>
      <c r="R192" s="7">
        <f t="shared" si="31"/>
        <v>0.91712707182320441</v>
      </c>
      <c r="S192" s="28">
        <v>26</v>
      </c>
      <c r="T192" s="32">
        <v>0.29166666666666669</v>
      </c>
      <c r="U192" s="32">
        <v>0.55486111111111114</v>
      </c>
      <c r="V192" s="12"/>
      <c r="W192" s="12"/>
      <c r="X192" s="2"/>
      <c r="Y192" s="2">
        <f t="shared" si="32"/>
        <v>0</v>
      </c>
      <c r="Z192" s="33">
        <v>1</v>
      </c>
      <c r="AA192" s="2">
        <f t="shared" si="33"/>
        <v>4.5250000000000004</v>
      </c>
      <c r="AB192" s="8">
        <f t="shared" si="41"/>
        <v>5.3166666666666664</v>
      </c>
      <c r="AC192" s="8">
        <f t="shared" si="43"/>
        <v>0.79166666666666607</v>
      </c>
      <c r="AD192" s="10">
        <f t="shared" si="36"/>
        <v>34.043887147335425</v>
      </c>
      <c r="AE192" s="2">
        <f t="shared" si="37"/>
        <v>109.21</v>
      </c>
      <c r="AF192" s="9">
        <f t="shared" si="44"/>
        <v>0.82504604051565389</v>
      </c>
      <c r="AG192" s="9">
        <f t="shared" si="39"/>
        <v>0.85109717868338564</v>
      </c>
      <c r="AH192" s="70">
        <f t="shared" si="40"/>
        <v>0.64400145482256377</v>
      </c>
    </row>
    <row r="193" spans="1:35" x14ac:dyDescent="0.25">
      <c r="A193" s="28">
        <v>24</v>
      </c>
      <c r="B193" s="29">
        <v>46186</v>
      </c>
      <c r="C193" s="1" t="s">
        <v>34</v>
      </c>
      <c r="D193" s="1">
        <v>274</v>
      </c>
      <c r="E193" s="1" t="s">
        <v>37</v>
      </c>
      <c r="F193" s="30" t="s">
        <v>36</v>
      </c>
      <c r="G193" s="28">
        <v>19979.05</v>
      </c>
      <c r="H193" s="28">
        <v>15733.2</v>
      </c>
      <c r="I193" s="28">
        <v>184</v>
      </c>
      <c r="J193" s="28">
        <v>17</v>
      </c>
      <c r="K193" s="28" t="s">
        <v>50</v>
      </c>
      <c r="L193" s="28"/>
      <c r="M193" s="28"/>
      <c r="N193" s="4" cm="1">
        <f t="array" ref="N193">_xlfn.IFS(E193="MOLINOS CHAMPION S.F",42,E193="PROPALCOL",42,E193="MASTERTEC",42,E193="GANADERIA OVIA",42,E193="ENGORDE",40,E193="DESCARTES",40,E193="REPRODUCTORA",10,E193="BAJO PESO",40,E193="CHICKENCORP",42)</f>
        <v>40</v>
      </c>
      <c r="O193" s="7">
        <f t="shared" si="28"/>
        <v>0.78748489042271785</v>
      </c>
      <c r="P193" s="22">
        <f t="shared" si="29"/>
        <v>108.58179347826086</v>
      </c>
      <c r="Q193" s="22">
        <f t="shared" si="30"/>
        <v>85.506521739130434</v>
      </c>
      <c r="R193" s="7">
        <f t="shared" si="31"/>
        <v>0.90760869565217395</v>
      </c>
      <c r="S193" s="28">
        <v>34</v>
      </c>
      <c r="T193" s="32">
        <v>0.25</v>
      </c>
      <c r="U193" s="32">
        <v>0.43055555555555558</v>
      </c>
      <c r="V193" s="34"/>
      <c r="W193" s="34"/>
      <c r="X193" s="33"/>
      <c r="Y193" s="2">
        <f t="shared" si="32"/>
        <v>0</v>
      </c>
      <c r="Z193" s="33"/>
      <c r="AA193" s="2">
        <f t="shared" si="33"/>
        <v>4.5999999999999996</v>
      </c>
      <c r="AB193" s="8">
        <f t="shared" si="41"/>
        <v>4.333333333333333</v>
      </c>
      <c r="AC193" s="8">
        <f t="shared" ref="AC193:AC196" si="45">IF(AB193&gt;AA193,AB193-AA193,0)</f>
        <v>0</v>
      </c>
      <c r="AD193" s="10">
        <f t="shared" si="36"/>
        <v>42.461538461538467</v>
      </c>
      <c r="AE193" s="2">
        <f t="shared" si="37"/>
        <v>106.79</v>
      </c>
      <c r="AF193" s="9">
        <f t="shared" ref="AF193:AF195" si="46">IF(AA193-AC193&lt;0,0,(AA193-AC193)/AA193)</f>
        <v>1</v>
      </c>
      <c r="AG193" s="9">
        <f t="shared" si="39"/>
        <v>1</v>
      </c>
      <c r="AH193" s="70">
        <f t="shared" si="40"/>
        <v>0.90760869565217395</v>
      </c>
      <c r="AI193" s="35"/>
    </row>
    <row r="194" spans="1:35" x14ac:dyDescent="0.25">
      <c r="A194" s="28">
        <v>24</v>
      </c>
      <c r="B194" s="29">
        <v>46186</v>
      </c>
      <c r="C194" s="1" t="s">
        <v>38</v>
      </c>
      <c r="D194" s="31"/>
      <c r="E194" s="1" t="s">
        <v>39</v>
      </c>
      <c r="F194" s="30" t="s">
        <v>42</v>
      </c>
      <c r="G194" s="28">
        <v>3822.25</v>
      </c>
      <c r="H194" s="28">
        <v>3000.9</v>
      </c>
      <c r="I194" s="28">
        <v>17</v>
      </c>
      <c r="J194" s="28"/>
      <c r="K194" s="28"/>
      <c r="L194" s="28"/>
      <c r="M194" s="28"/>
      <c r="N194" s="4" cm="1">
        <f t="array" ref="N194">_xlfn.IFS(E194="MOLINOS CHAMPION S.F",42,E194="PROPALCOL",42,E194="MASTERTEC",42,E194="GANADERIA OVIA",42,E194="ENGORDE",40,E194="DESCARTES",40,E194="REPRODUCTORA",10,E194="BAJO PESO",40,E194="CHICKENCORP",42)</f>
        <v>10</v>
      </c>
      <c r="O194" s="7">
        <f t="shared" ref="O194:O219" si="47">IFERROR(H194/G194," ")</f>
        <v>0.78511348027993988</v>
      </c>
      <c r="P194" s="22">
        <f t="shared" ref="P194:P219" si="48">IFERROR(G194/I194," ")</f>
        <v>224.83823529411765</v>
      </c>
      <c r="Q194" s="22">
        <f t="shared" ref="Q194:Q219" si="49">IFERROR(H194/I194," ")</f>
        <v>176.52352941176471</v>
      </c>
      <c r="R194" s="7">
        <f t="shared" ref="R194:R219" si="50">IF(I194=0,0,(I194-J194)/I194)</f>
        <v>1</v>
      </c>
      <c r="S194" s="28">
        <v>34</v>
      </c>
      <c r="T194" s="32">
        <v>0.46875</v>
      </c>
      <c r="U194" s="32">
        <v>0.55208333333333337</v>
      </c>
      <c r="V194" s="34"/>
      <c r="W194" s="34"/>
      <c r="X194" s="33"/>
      <c r="Y194" s="2">
        <f t="shared" ref="Y194:Y219" si="51">(HOUR(W194-V194)+MINUTE(W194-V194)/60)</f>
        <v>0</v>
      </c>
      <c r="Z194" s="33">
        <v>1</v>
      </c>
      <c r="AA194" s="2">
        <f t="shared" ref="AA194:AA219" si="52">I194/N194</f>
        <v>1.7</v>
      </c>
      <c r="AB194" s="8">
        <f t="shared" si="41"/>
        <v>1</v>
      </c>
      <c r="AC194" s="8">
        <f t="shared" si="45"/>
        <v>0</v>
      </c>
      <c r="AD194" s="10">
        <f t="shared" ref="AD194:AD219" si="53">I194/AB194</f>
        <v>17</v>
      </c>
      <c r="AE194" s="2">
        <f t="shared" ref="AE194:AE219" si="54">ROUND(H194/AB194/S194,2)</f>
        <v>88.26</v>
      </c>
      <c r="AF194" s="9">
        <f t="shared" si="46"/>
        <v>1</v>
      </c>
      <c r="AG194" s="9">
        <f t="shared" ref="AG194:AG219" si="55">IFERROR(MIN(AD194/N194,1),0)</f>
        <v>1</v>
      </c>
      <c r="AH194" s="70">
        <f t="shared" ref="AH194:AH219" si="56">R194*AF194*AG194</f>
        <v>1</v>
      </c>
      <c r="AI194" s="35"/>
    </row>
    <row r="195" spans="1:35" x14ac:dyDescent="0.25">
      <c r="A195" s="28">
        <v>25</v>
      </c>
      <c r="B195" s="29">
        <v>46188</v>
      </c>
      <c r="C195" s="1" t="s">
        <v>34</v>
      </c>
      <c r="D195" s="1">
        <v>5470</v>
      </c>
      <c r="E195" s="1" t="s">
        <v>35</v>
      </c>
      <c r="F195" s="30" t="s">
        <v>36</v>
      </c>
      <c r="G195" s="28">
        <v>12904.3</v>
      </c>
      <c r="H195" s="28">
        <v>9896.85</v>
      </c>
      <c r="I195" s="28">
        <v>120</v>
      </c>
      <c r="J195" s="28"/>
      <c r="K195" s="28"/>
      <c r="L195" s="28"/>
      <c r="M195" s="28"/>
      <c r="N195" s="4" cm="1">
        <f t="array" ref="N195">_xlfn.IFS(E195="MOLINOS CHAMPION S.F",42,E195="PROPALCOL",42,E195="MASTERTEC",42,E195="GANADERIA OVIA",42,E195="ENGORDE",40,E195="DESCARTES",40,E195="REPRODUCTORA",10,E195="BAJO PESO",40,E195="CHICKENCORP",42)</f>
        <v>42</v>
      </c>
      <c r="O195" s="7">
        <f t="shared" si="47"/>
        <v>0.76694202707624592</v>
      </c>
      <c r="P195" s="22">
        <f t="shared" si="48"/>
        <v>107.53583333333333</v>
      </c>
      <c r="Q195" s="22">
        <f t="shared" si="49"/>
        <v>82.47375000000001</v>
      </c>
      <c r="R195" s="7">
        <f t="shared" si="50"/>
        <v>1</v>
      </c>
      <c r="S195" s="28">
        <v>33</v>
      </c>
      <c r="T195" s="32">
        <v>0.5</v>
      </c>
      <c r="U195" s="32">
        <v>0.71527777777777779</v>
      </c>
      <c r="V195" s="34"/>
      <c r="W195" s="34"/>
      <c r="X195" s="33"/>
      <c r="Y195" s="2">
        <f t="shared" si="51"/>
        <v>0</v>
      </c>
      <c r="Z195" s="33"/>
      <c r="AA195" s="2">
        <f t="shared" si="52"/>
        <v>2.8571428571428572</v>
      </c>
      <c r="AB195" s="8">
        <f t="shared" si="41"/>
        <v>5.166666666666667</v>
      </c>
      <c r="AC195" s="8">
        <f t="shared" si="45"/>
        <v>2.3095238095238098</v>
      </c>
      <c r="AD195" s="10">
        <f t="shared" si="53"/>
        <v>23.2258064516129</v>
      </c>
      <c r="AE195" s="2">
        <f t="shared" si="54"/>
        <v>58.05</v>
      </c>
      <c r="AF195" s="9">
        <f t="shared" si="46"/>
        <v>0.1916666666666666</v>
      </c>
      <c r="AG195" s="9">
        <f t="shared" si="55"/>
        <v>0.55299539170506906</v>
      </c>
      <c r="AH195" s="70">
        <f t="shared" si="56"/>
        <v>0.10599078341013819</v>
      </c>
      <c r="AI195" s="35"/>
    </row>
    <row r="196" spans="1:35" x14ac:dyDescent="0.25">
      <c r="A196" s="28">
        <v>25</v>
      </c>
      <c r="B196" s="29">
        <v>46188</v>
      </c>
      <c r="C196" s="1" t="s">
        <v>34</v>
      </c>
      <c r="D196" s="1">
        <v>274</v>
      </c>
      <c r="E196" s="1" t="s">
        <v>37</v>
      </c>
      <c r="F196" s="30" t="s">
        <v>36</v>
      </c>
      <c r="G196" s="28">
        <v>17867.650000000001</v>
      </c>
      <c r="H196" s="28">
        <v>14283.75</v>
      </c>
      <c r="I196" s="28">
        <v>165</v>
      </c>
      <c r="J196" s="28">
        <v>10</v>
      </c>
      <c r="K196" s="28" t="s">
        <v>50</v>
      </c>
      <c r="L196" s="28"/>
      <c r="M196" s="28"/>
      <c r="N196" s="4" cm="1">
        <f t="array" ref="N196">_xlfn.IFS(E196="MOLINOS CHAMPION S.F",42,E196="PROPALCOL",42,E196="MASTERTEC",42,E196="GANADERIA OVIA",42,E196="ENGORDE",40,E196="DESCARTES",40,E196="REPRODUCTORA",10,E196="BAJO PESO",40,E196="CHICKENCORP",42)</f>
        <v>40</v>
      </c>
      <c r="O196" s="7">
        <f t="shared" si="47"/>
        <v>0.79941962149471246</v>
      </c>
      <c r="P196" s="22">
        <f t="shared" si="48"/>
        <v>108.28878787878789</v>
      </c>
      <c r="Q196" s="22">
        <f t="shared" si="49"/>
        <v>86.568181818181813</v>
      </c>
      <c r="R196" s="7">
        <f t="shared" si="50"/>
        <v>0.93939393939393945</v>
      </c>
      <c r="S196" s="28">
        <v>33</v>
      </c>
      <c r="T196" s="32">
        <v>0.25</v>
      </c>
      <c r="U196" s="32">
        <v>0.52083333333333337</v>
      </c>
      <c r="V196" s="36">
        <v>0.37152777777777779</v>
      </c>
      <c r="W196" s="36">
        <v>0.40277777777777779</v>
      </c>
      <c r="X196" s="33" t="s">
        <v>53</v>
      </c>
      <c r="Y196" s="2">
        <f t="shared" si="51"/>
        <v>0.75</v>
      </c>
      <c r="Z196" s="33">
        <v>1</v>
      </c>
      <c r="AA196" s="2">
        <f t="shared" si="52"/>
        <v>4.125</v>
      </c>
      <c r="AB196" s="8">
        <f t="shared" si="41"/>
        <v>4.75</v>
      </c>
      <c r="AC196" s="8">
        <f t="shared" si="45"/>
        <v>0.625</v>
      </c>
      <c r="AD196" s="10">
        <f t="shared" si="53"/>
        <v>34.736842105263158</v>
      </c>
      <c r="AE196" s="2">
        <f t="shared" si="54"/>
        <v>91.12</v>
      </c>
      <c r="AF196" s="9">
        <f t="shared" ref="AF196:AF219" si="57">IF(AA196-AC196-Y196&lt;0,0,(AA196-AC196-Y196)/AA196)</f>
        <v>0.66666666666666663</v>
      </c>
      <c r="AG196" s="9">
        <f t="shared" si="55"/>
        <v>0.86842105263157898</v>
      </c>
      <c r="AH196" s="70">
        <f t="shared" si="56"/>
        <v>0.54385964912280704</v>
      </c>
      <c r="AI196" s="35"/>
    </row>
    <row r="197" spans="1:35" x14ac:dyDescent="0.25">
      <c r="A197" s="28">
        <v>25</v>
      </c>
      <c r="B197" s="29">
        <v>46189</v>
      </c>
      <c r="C197" s="1" t="s">
        <v>34</v>
      </c>
      <c r="D197" s="1">
        <v>5470</v>
      </c>
      <c r="E197" s="1" t="s">
        <v>35</v>
      </c>
      <c r="F197" s="30" t="s">
        <v>36</v>
      </c>
      <c r="G197" s="28">
        <v>12961.05</v>
      </c>
      <c r="H197" s="28">
        <v>9936.15</v>
      </c>
      <c r="I197" s="28">
        <v>120</v>
      </c>
      <c r="J197" s="28"/>
      <c r="K197" s="28"/>
      <c r="L197" s="28"/>
      <c r="M197" s="28"/>
      <c r="N197" s="4" cm="1">
        <f t="array" ref="N197">_xlfn.IFS(E197="MOLINOS CHAMPION S.F",42,E197="PROPALCOL",42,E197="MASTERTEC",42,E197="GANADERIA OVIA",42,E197="ENGORDE",40,E197="DESCARTES",40,E197="REPRODUCTORA",10,E197="BAJO PESO",40,E197="CHICKENCORP",42)</f>
        <v>42</v>
      </c>
      <c r="O197" s="7">
        <f t="shared" si="47"/>
        <v>0.76661613063756406</v>
      </c>
      <c r="P197" s="22">
        <f t="shared" si="48"/>
        <v>108.00874999999999</v>
      </c>
      <c r="Q197" s="22">
        <f t="shared" si="49"/>
        <v>82.801249999999996</v>
      </c>
      <c r="R197" s="7">
        <f t="shared" si="50"/>
        <v>1</v>
      </c>
      <c r="S197" s="28">
        <v>33</v>
      </c>
      <c r="T197" s="32">
        <v>0.55208333333333337</v>
      </c>
      <c r="U197" s="32">
        <v>0.69097222222222221</v>
      </c>
      <c r="V197" s="34"/>
      <c r="W197" s="34"/>
      <c r="X197" s="33"/>
      <c r="Y197" s="2">
        <f t="shared" si="51"/>
        <v>0</v>
      </c>
      <c r="Z197" s="33"/>
      <c r="AA197" s="2">
        <f t="shared" si="52"/>
        <v>2.8571428571428572</v>
      </c>
      <c r="AB197" s="8">
        <f t="shared" si="41"/>
        <v>3.3333333333333335</v>
      </c>
      <c r="AC197" s="8">
        <f t="shared" ref="AC197:AC209" si="58">IF(AB197&gt;AA197,AB197-AA197,0)</f>
        <v>0.47619047619047628</v>
      </c>
      <c r="AD197" s="10">
        <f t="shared" si="53"/>
        <v>36</v>
      </c>
      <c r="AE197" s="2">
        <f t="shared" si="54"/>
        <v>90.33</v>
      </c>
      <c r="AF197" s="9">
        <f t="shared" si="57"/>
        <v>0.83333333333333326</v>
      </c>
      <c r="AG197" s="9">
        <f t="shared" si="55"/>
        <v>0.8571428571428571</v>
      </c>
      <c r="AH197" s="70">
        <f t="shared" si="56"/>
        <v>0.71428571428571419</v>
      </c>
      <c r="AI197" s="35"/>
    </row>
    <row r="198" spans="1:35" x14ac:dyDescent="0.25">
      <c r="A198" s="28">
        <v>25</v>
      </c>
      <c r="B198" s="29">
        <v>46189</v>
      </c>
      <c r="C198" s="1" t="s">
        <v>34</v>
      </c>
      <c r="D198" s="1">
        <v>274</v>
      </c>
      <c r="E198" s="1" t="s">
        <v>54</v>
      </c>
      <c r="F198" s="30" t="s">
        <v>36</v>
      </c>
      <c r="G198" s="28">
        <v>1574.5</v>
      </c>
      <c r="H198" s="28">
        <v>1220.8</v>
      </c>
      <c r="I198" s="28">
        <v>20</v>
      </c>
      <c r="J198" s="28"/>
      <c r="K198" s="28"/>
      <c r="L198" s="28"/>
      <c r="M198" s="28"/>
      <c r="N198" s="4" cm="1">
        <f t="array" ref="N198">_xlfn.IFS(E198="MOLINOS CHAMPION S.F",42,E198="PROPALCOL",42,E198="MASTERTEC",42,E198="GANADERIA OVIA",42,E198="ENGORDE",40,E198="DESCARTES",40,E198="REPRODUCTORA",10,E198="BAJO PESO",40,E198="CHICKENCORP",42)</f>
        <v>42</v>
      </c>
      <c r="O198" s="7">
        <f t="shared" si="47"/>
        <v>0.77535725627183227</v>
      </c>
      <c r="P198" s="22">
        <f t="shared" si="48"/>
        <v>78.724999999999994</v>
      </c>
      <c r="Q198" s="22">
        <f t="shared" si="49"/>
        <v>61.04</v>
      </c>
      <c r="R198" s="7">
        <f t="shared" si="50"/>
        <v>1</v>
      </c>
      <c r="S198" s="28">
        <v>33</v>
      </c>
      <c r="T198" s="32">
        <v>0.47013888888888888</v>
      </c>
      <c r="U198" s="32">
        <v>0.50694444444444442</v>
      </c>
      <c r="V198" s="34"/>
      <c r="W198" s="34"/>
      <c r="X198" s="33"/>
      <c r="Y198" s="2">
        <f t="shared" si="51"/>
        <v>0</v>
      </c>
      <c r="Z198" s="33">
        <v>1</v>
      </c>
      <c r="AA198" s="2">
        <f t="shared" si="52"/>
        <v>0.47619047619047616</v>
      </c>
      <c r="AB198" s="8">
        <f>(HOUR(U198-T198)+MINUTE(U198-T198)/60)-Y198</f>
        <v>0.8833333333333333</v>
      </c>
      <c r="AC198" s="8">
        <f t="shared" si="58"/>
        <v>0.40714285714285714</v>
      </c>
      <c r="AD198" s="10">
        <f t="shared" si="53"/>
        <v>22.641509433962266</v>
      </c>
      <c r="AE198" s="2">
        <f t="shared" si="54"/>
        <v>41.88</v>
      </c>
      <c r="AF198" s="9">
        <f t="shared" si="57"/>
        <v>0.14499999999999996</v>
      </c>
      <c r="AG198" s="9">
        <f t="shared" si="55"/>
        <v>0.53908355795148255</v>
      </c>
      <c r="AH198" s="70">
        <f t="shared" si="56"/>
        <v>7.8167115902964948E-2</v>
      </c>
      <c r="AI198" s="35"/>
    </row>
    <row r="199" spans="1:35" x14ac:dyDescent="0.25">
      <c r="A199" s="28">
        <v>25</v>
      </c>
      <c r="B199" s="29">
        <v>46189</v>
      </c>
      <c r="C199" s="1" t="s">
        <v>34</v>
      </c>
      <c r="D199" s="1">
        <v>274</v>
      </c>
      <c r="E199" s="1" t="s">
        <v>37</v>
      </c>
      <c r="F199" s="30" t="s">
        <v>36</v>
      </c>
      <c r="G199" s="28">
        <v>15502.6</v>
      </c>
      <c r="H199" s="28">
        <v>12146.3</v>
      </c>
      <c r="I199" s="28">
        <v>151</v>
      </c>
      <c r="J199" s="28">
        <v>15</v>
      </c>
      <c r="K199" s="28" t="s">
        <v>50</v>
      </c>
      <c r="L199" s="28"/>
      <c r="M199" s="28"/>
      <c r="N199" s="4" cm="1">
        <f t="array" ref="N199">_xlfn.IFS(E199="MOLINOS CHAMPION S.F",42,E199="PROPALCOL",42,E199="MASTERTEC",42,E199="GANADERIA OVIA",42,E199="ENGORDE",40,E199="DESCARTES",40,E199="REPRODUCTORA",10,E199="BAJO PESO",40,E199="CHICKENCORP",42)</f>
        <v>40</v>
      </c>
      <c r="O199" s="7">
        <f t="shared" si="47"/>
        <v>0.78350083211848331</v>
      </c>
      <c r="P199" s="22">
        <f t="shared" si="48"/>
        <v>102.66622516556292</v>
      </c>
      <c r="Q199" s="22">
        <f t="shared" si="49"/>
        <v>80.439072847682112</v>
      </c>
      <c r="R199" s="7">
        <f t="shared" si="50"/>
        <v>0.90066225165562919</v>
      </c>
      <c r="S199" s="28">
        <v>34</v>
      </c>
      <c r="T199" s="32">
        <v>0.29166666666666669</v>
      </c>
      <c r="U199" s="32">
        <v>0.48541666666666666</v>
      </c>
      <c r="V199" s="36">
        <v>0.36805555555555558</v>
      </c>
      <c r="W199" s="36">
        <v>0.39583333333333331</v>
      </c>
      <c r="X199" s="33" t="s">
        <v>55</v>
      </c>
      <c r="Y199" s="2">
        <f t="shared" si="51"/>
        <v>0.66666666666666663</v>
      </c>
      <c r="Z199" s="33"/>
      <c r="AA199" s="2">
        <f t="shared" si="52"/>
        <v>3.7749999999999999</v>
      </c>
      <c r="AB199" s="8">
        <f t="shared" ref="AB199:AB219" si="59">(HOUR(U199-T199)+MINUTE(U199-T199)/60)-Z199-Y199</f>
        <v>3.9833333333333338</v>
      </c>
      <c r="AC199" s="8">
        <f t="shared" si="58"/>
        <v>0.20833333333333393</v>
      </c>
      <c r="AD199" s="10">
        <f t="shared" si="53"/>
        <v>37.907949790794973</v>
      </c>
      <c r="AE199" s="2">
        <f t="shared" si="54"/>
        <v>89.68</v>
      </c>
      <c r="AF199" s="9">
        <f t="shared" si="57"/>
        <v>0.76821192052980125</v>
      </c>
      <c r="AG199" s="9">
        <f t="shared" si="55"/>
        <v>0.94769874476987437</v>
      </c>
      <c r="AH199" s="70">
        <f t="shared" si="56"/>
        <v>0.65571226689572992</v>
      </c>
      <c r="AI199" s="35"/>
    </row>
    <row r="200" spans="1:35" x14ac:dyDescent="0.25">
      <c r="A200" s="28">
        <v>25</v>
      </c>
      <c r="B200" s="29">
        <v>46190</v>
      </c>
      <c r="C200" s="1" t="s">
        <v>34</v>
      </c>
      <c r="D200" s="1">
        <v>5470</v>
      </c>
      <c r="E200" s="1" t="s">
        <v>35</v>
      </c>
      <c r="F200" s="30" t="s">
        <v>36</v>
      </c>
      <c r="G200" s="28">
        <v>6311.65</v>
      </c>
      <c r="H200" s="28">
        <v>4748.75</v>
      </c>
      <c r="I200" s="28">
        <v>60</v>
      </c>
      <c r="J200" s="28">
        <v>13</v>
      </c>
      <c r="K200" s="28" t="s">
        <v>50</v>
      </c>
      <c r="L200" s="28"/>
      <c r="M200" s="28"/>
      <c r="N200" s="4" cm="1">
        <f t="array" ref="N200">_xlfn.IFS(E200="MOLINOS CHAMPION S.F",42,E200="PROPALCOL",42,E200="MASTERTEC",42,E200="GANADERIA OVIA",42,E200="ENGORDE",40,E200="DESCARTES",40,E200="REPRODUCTORA",10,E200="BAJO PESO",40,E200="CHICKENCORP",42)</f>
        <v>42</v>
      </c>
      <c r="O200" s="7">
        <f t="shared" si="47"/>
        <v>0.75237853810017985</v>
      </c>
      <c r="P200" s="22">
        <f t="shared" si="48"/>
        <v>105.19416666666666</v>
      </c>
      <c r="Q200" s="22">
        <f t="shared" si="49"/>
        <v>79.145833333333329</v>
      </c>
      <c r="R200" s="7">
        <f t="shared" si="50"/>
        <v>0.78333333333333333</v>
      </c>
      <c r="S200" s="28">
        <v>39</v>
      </c>
      <c r="T200" s="32">
        <v>0.35416666666666669</v>
      </c>
      <c r="U200" s="32">
        <v>0.43402777777777779</v>
      </c>
      <c r="V200" s="34"/>
      <c r="W200" s="34"/>
      <c r="X200" s="33"/>
      <c r="Y200" s="2">
        <f t="shared" si="51"/>
        <v>0</v>
      </c>
      <c r="Z200" s="33"/>
      <c r="AA200" s="2">
        <f t="shared" si="52"/>
        <v>1.4285714285714286</v>
      </c>
      <c r="AB200" s="8">
        <f t="shared" si="59"/>
        <v>1.9166666666666665</v>
      </c>
      <c r="AC200" s="8">
        <f t="shared" si="58"/>
        <v>0.48809523809523792</v>
      </c>
      <c r="AD200" s="10">
        <f t="shared" si="53"/>
        <v>31.304347826086961</v>
      </c>
      <c r="AE200" s="2">
        <f t="shared" si="54"/>
        <v>63.53</v>
      </c>
      <c r="AF200" s="9">
        <f t="shared" si="57"/>
        <v>0.65833333333333344</v>
      </c>
      <c r="AG200" s="9">
        <f t="shared" si="55"/>
        <v>0.74534161490683237</v>
      </c>
      <c r="AH200" s="70">
        <f t="shared" si="56"/>
        <v>0.38436853002070404</v>
      </c>
      <c r="AI200" s="35"/>
    </row>
    <row r="201" spans="1:35" x14ac:dyDescent="0.25">
      <c r="A201" s="28">
        <v>25</v>
      </c>
      <c r="B201" s="29">
        <v>46190</v>
      </c>
      <c r="C201" s="1" t="s">
        <v>34</v>
      </c>
      <c r="D201" s="1">
        <v>274</v>
      </c>
      <c r="E201" s="1" t="s">
        <v>37</v>
      </c>
      <c r="F201" s="30" t="s">
        <v>36</v>
      </c>
      <c r="G201" s="28">
        <v>20159.75</v>
      </c>
      <c r="H201" s="28">
        <v>16316.25</v>
      </c>
      <c r="I201" s="28">
        <v>181</v>
      </c>
      <c r="J201" s="28">
        <v>25</v>
      </c>
      <c r="K201" s="28" t="s">
        <v>50</v>
      </c>
      <c r="L201" s="28"/>
      <c r="M201" s="28"/>
      <c r="N201" s="4" cm="1">
        <f t="array" ref="N201">_xlfn.IFS(E201="MOLINOS CHAMPION S.F",42,E201="PROPALCOL",42,E201="MASTERTEC",42,E201="GANADERIA OVIA",42,E201="ENGORDE",40,E201="DESCARTES",40,E201="REPRODUCTORA",10,E201="BAJO PESO",40,E201="CHICKENCORP",42)</f>
        <v>40</v>
      </c>
      <c r="O201" s="7">
        <f t="shared" si="47"/>
        <v>0.80934783417453093</v>
      </c>
      <c r="P201" s="22">
        <f t="shared" si="48"/>
        <v>111.37983425414365</v>
      </c>
      <c r="Q201" s="22">
        <f t="shared" si="49"/>
        <v>90.145027624309392</v>
      </c>
      <c r="R201" s="7">
        <f t="shared" si="50"/>
        <v>0.86187845303867405</v>
      </c>
      <c r="S201" s="28">
        <v>39</v>
      </c>
      <c r="T201" s="32">
        <v>0.29166666666666669</v>
      </c>
      <c r="U201" s="32">
        <v>0.55208333333333337</v>
      </c>
      <c r="V201" s="34"/>
      <c r="W201" s="34"/>
      <c r="X201" s="33"/>
      <c r="Y201" s="2">
        <f t="shared" si="51"/>
        <v>0</v>
      </c>
      <c r="Z201" s="33">
        <v>1</v>
      </c>
      <c r="AA201" s="2">
        <f t="shared" si="52"/>
        <v>4.5250000000000004</v>
      </c>
      <c r="AB201" s="8">
        <f t="shared" si="59"/>
        <v>5.25</v>
      </c>
      <c r="AC201" s="8">
        <f t="shared" si="58"/>
        <v>0.72499999999999964</v>
      </c>
      <c r="AD201" s="10">
        <f t="shared" si="53"/>
        <v>34.476190476190474</v>
      </c>
      <c r="AE201" s="2">
        <f t="shared" si="54"/>
        <v>79.69</v>
      </c>
      <c r="AF201" s="9">
        <f t="shared" si="57"/>
        <v>0.83977900552486195</v>
      </c>
      <c r="AG201" s="9">
        <f t="shared" si="55"/>
        <v>0.86190476190476184</v>
      </c>
      <c r="AH201" s="70">
        <f t="shared" si="56"/>
        <v>0.62383583267561171</v>
      </c>
      <c r="AI201" s="35"/>
    </row>
    <row r="202" spans="1:35" x14ac:dyDescent="0.25">
      <c r="A202" s="28">
        <v>25</v>
      </c>
      <c r="B202" s="29">
        <v>46191</v>
      </c>
      <c r="C202" s="1" t="s">
        <v>34</v>
      </c>
      <c r="D202" s="1">
        <v>274</v>
      </c>
      <c r="E202" s="1" t="s">
        <v>37</v>
      </c>
      <c r="F202" s="30" t="s">
        <v>36</v>
      </c>
      <c r="G202" s="28">
        <v>21393.25</v>
      </c>
      <c r="H202" s="28">
        <v>17419.349999999999</v>
      </c>
      <c r="I202" s="28">
        <v>181</v>
      </c>
      <c r="J202" s="28">
        <v>17</v>
      </c>
      <c r="K202" s="28" t="s">
        <v>56</v>
      </c>
      <c r="L202" s="28"/>
      <c r="M202" s="28"/>
      <c r="N202" s="4" cm="1">
        <f t="array" ref="N202">_xlfn.IFS(E202="MOLINOS CHAMPION S.F",42,E202="PROPALCOL",42,E202="MASTERTEC",42,E202="GANADERIA OVIA",42,E202="ENGORDE",40,E202="DESCARTES",40,E202="REPRODUCTORA",10,E202="BAJO PESO",40,E202="CHICKENCORP",42)</f>
        <v>40</v>
      </c>
      <c r="O202" s="7">
        <f t="shared" si="47"/>
        <v>0.81424514741799392</v>
      </c>
      <c r="P202" s="22">
        <f t="shared" si="48"/>
        <v>118.19475138121547</v>
      </c>
      <c r="Q202" s="22">
        <f t="shared" si="49"/>
        <v>96.239502762430931</v>
      </c>
      <c r="R202" s="7">
        <f t="shared" si="50"/>
        <v>0.90607734806629836</v>
      </c>
      <c r="S202" s="28">
        <v>30</v>
      </c>
      <c r="T202" s="32">
        <v>0.29166666666666669</v>
      </c>
      <c r="U202" s="32">
        <v>0.50694444444444442</v>
      </c>
      <c r="V202" s="34"/>
      <c r="W202" s="34"/>
      <c r="X202" s="33"/>
      <c r="Y202" s="2">
        <f t="shared" si="51"/>
        <v>0</v>
      </c>
      <c r="Z202" s="33">
        <v>1</v>
      </c>
      <c r="AA202" s="2">
        <f t="shared" si="52"/>
        <v>4.5250000000000004</v>
      </c>
      <c r="AB202" s="8">
        <f t="shared" si="59"/>
        <v>4.166666666666667</v>
      </c>
      <c r="AC202" s="8">
        <f t="shared" si="58"/>
        <v>0</v>
      </c>
      <c r="AD202" s="10">
        <f t="shared" si="53"/>
        <v>43.44</v>
      </c>
      <c r="AE202" s="2">
        <f t="shared" si="54"/>
        <v>139.35</v>
      </c>
      <c r="AF202" s="9">
        <f t="shared" si="57"/>
        <v>1</v>
      </c>
      <c r="AG202" s="9">
        <f t="shared" si="55"/>
        <v>1</v>
      </c>
      <c r="AH202" s="70">
        <f t="shared" si="56"/>
        <v>0.90607734806629836</v>
      </c>
      <c r="AI202" s="35"/>
    </row>
    <row r="203" spans="1:35" x14ac:dyDescent="0.25">
      <c r="A203" s="28">
        <v>25</v>
      </c>
      <c r="B203" s="37" t="s">
        <v>57</v>
      </c>
      <c r="C203" s="1" t="s">
        <v>34</v>
      </c>
      <c r="D203" s="1">
        <v>274</v>
      </c>
      <c r="E203" s="1" t="s">
        <v>37</v>
      </c>
      <c r="F203" s="30" t="s">
        <v>36</v>
      </c>
      <c r="G203" s="28">
        <v>25191.3</v>
      </c>
      <c r="H203" s="28">
        <v>19918.650000000001</v>
      </c>
      <c r="I203" s="28">
        <v>270</v>
      </c>
      <c r="J203" s="28">
        <v>5</v>
      </c>
      <c r="K203" s="28" t="s">
        <v>58</v>
      </c>
      <c r="L203" s="28"/>
      <c r="M203" s="28"/>
      <c r="N203" s="4" cm="1">
        <f t="array" ref="N203">_xlfn.IFS(E203="MOLINOS CHAMPION S.F",42,E203="PROPALCOL",42,E203="MASTERTEC",42,E203="GANADERIA OVIA",42,E203="ENGORDE",40,E203="DESCARTES",40,E203="REPRODUCTORA",10,E203="BAJO PESO",40,E203="CHICKENCORP",42)</f>
        <v>40</v>
      </c>
      <c r="O203" s="7">
        <f t="shared" si="47"/>
        <v>0.79069559728954053</v>
      </c>
      <c r="P203" s="22">
        <f t="shared" si="48"/>
        <v>93.301111111111112</v>
      </c>
      <c r="Q203" s="22">
        <f t="shared" si="49"/>
        <v>73.77277777777779</v>
      </c>
      <c r="R203" s="7">
        <f t="shared" si="50"/>
        <v>0.98148148148148151</v>
      </c>
      <c r="S203" s="28">
        <v>30</v>
      </c>
      <c r="T203" s="32">
        <v>0.25</v>
      </c>
      <c r="U203" s="32">
        <v>0.75</v>
      </c>
      <c r="V203" s="36">
        <v>0.60416666666666663</v>
      </c>
      <c r="W203" s="36">
        <v>0.66666666666666663</v>
      </c>
      <c r="X203" s="33" t="s">
        <v>53</v>
      </c>
      <c r="Y203" s="2">
        <f t="shared" si="51"/>
        <v>1.5</v>
      </c>
      <c r="Z203" s="33"/>
      <c r="AA203" s="2">
        <f t="shared" si="52"/>
        <v>6.75</v>
      </c>
      <c r="AB203" s="8">
        <f t="shared" si="59"/>
        <v>10.5</v>
      </c>
      <c r="AC203" s="8">
        <f t="shared" si="58"/>
        <v>3.75</v>
      </c>
      <c r="AD203" s="10">
        <f t="shared" si="53"/>
        <v>25.714285714285715</v>
      </c>
      <c r="AE203" s="2">
        <f t="shared" si="54"/>
        <v>63.23</v>
      </c>
      <c r="AF203" s="9">
        <f t="shared" si="57"/>
        <v>0.22222222222222221</v>
      </c>
      <c r="AG203" s="9">
        <f t="shared" si="55"/>
        <v>0.6428571428571429</v>
      </c>
      <c r="AH203" s="70">
        <f t="shared" si="56"/>
        <v>0.14021164021164023</v>
      </c>
      <c r="AI203" s="35"/>
    </row>
    <row r="204" spans="1:35" x14ac:dyDescent="0.25">
      <c r="A204" s="28">
        <v>25</v>
      </c>
      <c r="B204" s="37" t="s">
        <v>57</v>
      </c>
      <c r="C204" s="1" t="s">
        <v>38</v>
      </c>
      <c r="D204" s="31"/>
      <c r="E204" s="1" t="s">
        <v>39</v>
      </c>
      <c r="F204" s="30" t="s">
        <v>42</v>
      </c>
      <c r="G204" s="28">
        <v>3590.1</v>
      </c>
      <c r="H204" s="28">
        <v>2742.85</v>
      </c>
      <c r="I204" s="28">
        <v>17</v>
      </c>
      <c r="J204" s="28"/>
      <c r="K204" s="28"/>
      <c r="L204" s="28"/>
      <c r="M204" s="28"/>
      <c r="N204" s="4" cm="1">
        <f t="array" ref="N204">_xlfn.IFS(E204="MOLINOS CHAMPION S.F",42,E204="PROPALCOL",42,E204="MASTERTEC",42,E204="GANADERIA OVIA",42,E204="ENGORDE",40,E204="DESCARTES",40,E204="REPRODUCTORA",10,E204="BAJO PESO",40,E204="CHICKENCORP",42)</f>
        <v>10</v>
      </c>
      <c r="O204" s="7">
        <f t="shared" si="47"/>
        <v>0.76400378819531489</v>
      </c>
      <c r="P204" s="22">
        <f t="shared" si="48"/>
        <v>211.18235294117648</v>
      </c>
      <c r="Q204" s="22">
        <f t="shared" si="49"/>
        <v>161.34411764705882</v>
      </c>
      <c r="R204" s="7">
        <f t="shared" si="50"/>
        <v>1</v>
      </c>
      <c r="S204" s="28">
        <v>30</v>
      </c>
      <c r="T204" s="32">
        <v>0.25</v>
      </c>
      <c r="U204" s="32">
        <v>0.34375</v>
      </c>
      <c r="V204" s="34"/>
      <c r="W204" s="34"/>
      <c r="X204" s="33"/>
      <c r="Y204" s="2">
        <f t="shared" si="51"/>
        <v>0</v>
      </c>
      <c r="Z204" s="33"/>
      <c r="AA204" s="2">
        <f t="shared" si="52"/>
        <v>1.7</v>
      </c>
      <c r="AB204" s="8">
        <f t="shared" si="59"/>
        <v>2.25</v>
      </c>
      <c r="AC204" s="8">
        <f t="shared" si="58"/>
        <v>0.55000000000000004</v>
      </c>
      <c r="AD204" s="10">
        <f t="shared" si="53"/>
        <v>7.5555555555555554</v>
      </c>
      <c r="AE204" s="2">
        <f t="shared" si="54"/>
        <v>40.630000000000003</v>
      </c>
      <c r="AF204" s="9">
        <f t="shared" si="57"/>
        <v>0.67647058823529405</v>
      </c>
      <c r="AG204" s="9">
        <f t="shared" si="55"/>
        <v>0.75555555555555554</v>
      </c>
      <c r="AH204" s="70">
        <f t="shared" si="56"/>
        <v>0.51111111111111107</v>
      </c>
      <c r="AI204" s="35"/>
    </row>
    <row r="205" spans="1:35" x14ac:dyDescent="0.25">
      <c r="A205" s="28">
        <v>26</v>
      </c>
      <c r="B205" s="29">
        <v>46195</v>
      </c>
      <c r="C205" s="1" t="s">
        <v>34</v>
      </c>
      <c r="D205" s="1">
        <v>5470</v>
      </c>
      <c r="E205" s="1" t="s">
        <v>35</v>
      </c>
      <c r="F205" s="30" t="s">
        <v>36</v>
      </c>
      <c r="G205" s="28">
        <v>11592.25</v>
      </c>
      <c r="H205" s="28">
        <v>8561.75</v>
      </c>
      <c r="I205" s="28">
        <v>120</v>
      </c>
      <c r="J205" s="28"/>
      <c r="K205" s="28"/>
      <c r="L205" s="28"/>
      <c r="M205" s="28"/>
      <c r="N205" s="4" cm="1">
        <f t="array" ref="N205">_xlfn.IFS(E205="MOLINOS CHAMPION S.F",42,E205="PROPALCOL",42,E205="MASTERTEC",42,E205="GANADERIA OVIA",42,E205="ENGORDE",40,E205="DESCARTES",40,E205="REPRODUCTORA",10,E205="BAJO PESO",40,E205="CHICKENCORP",42)</f>
        <v>42</v>
      </c>
      <c r="O205" s="7">
        <f t="shared" si="47"/>
        <v>0.73857534128404756</v>
      </c>
      <c r="P205" s="22">
        <f t="shared" si="48"/>
        <v>96.60208333333334</v>
      </c>
      <c r="Q205" s="22">
        <f t="shared" si="49"/>
        <v>71.347916666666663</v>
      </c>
      <c r="R205" s="7">
        <f t="shared" si="50"/>
        <v>1</v>
      </c>
      <c r="S205" s="28">
        <v>30</v>
      </c>
      <c r="T205" s="32">
        <v>0.34375</v>
      </c>
      <c r="U205" s="32">
        <v>0.49305555555555558</v>
      </c>
      <c r="V205" s="34"/>
      <c r="W205" s="34"/>
      <c r="X205" s="33"/>
      <c r="Y205" s="2">
        <f t="shared" si="51"/>
        <v>0</v>
      </c>
      <c r="Z205" s="33"/>
      <c r="AA205" s="2">
        <f t="shared" si="52"/>
        <v>2.8571428571428572</v>
      </c>
      <c r="AB205" s="8">
        <f t="shared" si="59"/>
        <v>3.5833333333333335</v>
      </c>
      <c r="AC205" s="8">
        <f t="shared" si="58"/>
        <v>0.72619047619047628</v>
      </c>
      <c r="AD205" s="10">
        <f t="shared" si="53"/>
        <v>33.488372093023251</v>
      </c>
      <c r="AE205" s="2">
        <f t="shared" si="54"/>
        <v>79.64</v>
      </c>
      <c r="AF205" s="9">
        <f t="shared" si="57"/>
        <v>0.74583333333333335</v>
      </c>
      <c r="AG205" s="9">
        <f t="shared" si="55"/>
        <v>0.79734219269102979</v>
      </c>
      <c r="AH205" s="70">
        <f t="shared" si="56"/>
        <v>0.5946843853820597</v>
      </c>
      <c r="AI205" s="35"/>
    </row>
    <row r="206" spans="1:35" x14ac:dyDescent="0.25">
      <c r="A206" s="28">
        <v>26</v>
      </c>
      <c r="B206" s="29">
        <v>46195</v>
      </c>
      <c r="C206" s="1" t="s">
        <v>34</v>
      </c>
      <c r="D206" s="1">
        <v>274</v>
      </c>
      <c r="E206" s="1" t="s">
        <v>37</v>
      </c>
      <c r="F206" s="30" t="s">
        <v>36</v>
      </c>
      <c r="G206" s="28">
        <v>18890.55</v>
      </c>
      <c r="H206" s="28">
        <v>15291.45</v>
      </c>
      <c r="I206" s="28">
        <v>180</v>
      </c>
      <c r="J206" s="28">
        <v>7</v>
      </c>
      <c r="K206" s="28" t="s">
        <v>59</v>
      </c>
      <c r="L206" s="28"/>
      <c r="M206" s="28"/>
      <c r="N206" s="4" cm="1">
        <f t="array" ref="N206">_xlfn.IFS(E206="MOLINOS CHAMPION S.F",42,E206="PROPALCOL",42,E206="MASTERTEC",42,E206="GANADERIA OVIA",42,E206="ENGORDE",40,E206="DESCARTES",40,E206="REPRODUCTORA",10,E206="BAJO PESO",40,E206="CHICKENCORP",42)</f>
        <v>40</v>
      </c>
      <c r="O206" s="7">
        <f t="shared" si="47"/>
        <v>0.80947616665475597</v>
      </c>
      <c r="P206" s="22">
        <f t="shared" si="48"/>
        <v>104.94749999999999</v>
      </c>
      <c r="Q206" s="22">
        <f t="shared" si="49"/>
        <v>84.952500000000001</v>
      </c>
      <c r="R206" s="7">
        <f t="shared" si="50"/>
        <v>0.96111111111111114</v>
      </c>
      <c r="S206" s="28">
        <v>30</v>
      </c>
      <c r="T206" s="32">
        <v>0.26041666666666669</v>
      </c>
      <c r="U206" s="32">
        <v>0.76388888888888884</v>
      </c>
      <c r="V206" s="36">
        <v>0.42569444444444443</v>
      </c>
      <c r="W206" s="36">
        <v>0.44305555555555554</v>
      </c>
      <c r="X206" s="33" t="s">
        <v>55</v>
      </c>
      <c r="Y206" s="2">
        <f t="shared" si="51"/>
        <v>0.41666666666666669</v>
      </c>
      <c r="Z206" s="33">
        <v>1</v>
      </c>
      <c r="AA206" s="2">
        <f t="shared" si="52"/>
        <v>4.5</v>
      </c>
      <c r="AB206" s="8">
        <f t="shared" si="59"/>
        <v>10.666666666666668</v>
      </c>
      <c r="AC206" s="8">
        <f t="shared" si="58"/>
        <v>6.1666666666666679</v>
      </c>
      <c r="AD206" s="10">
        <f t="shared" si="53"/>
        <v>16.874999999999996</v>
      </c>
      <c r="AE206" s="2">
        <f t="shared" si="54"/>
        <v>47.79</v>
      </c>
      <c r="AF206" s="9">
        <f t="shared" si="57"/>
        <v>0</v>
      </c>
      <c r="AG206" s="9">
        <f t="shared" si="55"/>
        <v>0.42187499999999989</v>
      </c>
      <c r="AH206" s="70">
        <f t="shared" si="56"/>
        <v>0</v>
      </c>
      <c r="AI206" s="35"/>
    </row>
    <row r="207" spans="1:35" x14ac:dyDescent="0.25">
      <c r="A207" s="28">
        <v>26</v>
      </c>
      <c r="B207" s="29">
        <v>46196</v>
      </c>
      <c r="C207" s="1" t="s">
        <v>34</v>
      </c>
      <c r="D207" s="1">
        <v>5470</v>
      </c>
      <c r="E207" s="1" t="s">
        <v>35</v>
      </c>
      <c r="F207" s="30" t="s">
        <v>36</v>
      </c>
      <c r="G207" s="28">
        <v>12224.45</v>
      </c>
      <c r="H207" s="28">
        <v>9072.2999999999993</v>
      </c>
      <c r="I207" s="28">
        <v>120</v>
      </c>
      <c r="J207" s="28"/>
      <c r="K207" s="28"/>
      <c r="L207" s="28"/>
      <c r="M207" s="28"/>
      <c r="N207" s="4" cm="1">
        <f t="array" ref="N207">_xlfn.IFS(E207="MOLINOS CHAMPION S.F",42,E207="PROPALCOL",42,E207="MASTERTEC",42,E207="GANADERIA OVIA",42,E207="ENGORDE",40,E207="DESCARTES",40,E207="REPRODUCTORA",10,E207="BAJO PESO",40,E207="CHICKENCORP",42)</f>
        <v>42</v>
      </c>
      <c r="O207" s="7">
        <f t="shared" si="47"/>
        <v>0.74214381833129495</v>
      </c>
      <c r="P207" s="22">
        <f t="shared" si="48"/>
        <v>101.87041666666667</v>
      </c>
      <c r="Q207" s="22">
        <f t="shared" si="49"/>
        <v>75.602499999999992</v>
      </c>
      <c r="R207" s="7">
        <f t="shared" si="50"/>
        <v>1</v>
      </c>
      <c r="S207" s="28">
        <v>38</v>
      </c>
      <c r="T207" s="32">
        <v>0.34722222222222221</v>
      </c>
      <c r="U207" s="32">
        <v>0.48958333333333331</v>
      </c>
      <c r="V207" s="34"/>
      <c r="W207" s="34"/>
      <c r="X207" s="33"/>
      <c r="Y207" s="2">
        <f t="shared" si="51"/>
        <v>0</v>
      </c>
      <c r="Z207" s="33"/>
      <c r="AA207" s="2">
        <f t="shared" si="52"/>
        <v>2.8571428571428572</v>
      </c>
      <c r="AB207" s="8">
        <f t="shared" si="59"/>
        <v>3.4166666666666665</v>
      </c>
      <c r="AC207" s="8">
        <f t="shared" si="58"/>
        <v>0.55952380952380931</v>
      </c>
      <c r="AD207" s="10">
        <f t="shared" si="53"/>
        <v>35.121951219512198</v>
      </c>
      <c r="AE207" s="2">
        <f t="shared" si="54"/>
        <v>69.88</v>
      </c>
      <c r="AF207" s="9">
        <f t="shared" si="57"/>
        <v>0.8041666666666667</v>
      </c>
      <c r="AG207" s="9">
        <f t="shared" si="55"/>
        <v>0.83623693379790942</v>
      </c>
      <c r="AH207" s="70">
        <f t="shared" si="56"/>
        <v>0.67247386759581884</v>
      </c>
      <c r="AI207" s="35"/>
    </row>
    <row r="208" spans="1:35" x14ac:dyDescent="0.25">
      <c r="A208" s="28">
        <v>26</v>
      </c>
      <c r="B208" s="29">
        <v>46196</v>
      </c>
      <c r="C208" s="1" t="s">
        <v>34</v>
      </c>
      <c r="D208" s="1">
        <v>274</v>
      </c>
      <c r="E208" s="1" t="s">
        <v>37</v>
      </c>
      <c r="F208" s="30" t="s">
        <v>36</v>
      </c>
      <c r="G208" s="28">
        <v>19070.5</v>
      </c>
      <c r="H208" s="28">
        <v>15536.5</v>
      </c>
      <c r="I208" s="28">
        <v>181</v>
      </c>
      <c r="J208" s="28">
        <v>6</v>
      </c>
      <c r="K208" s="28" t="s">
        <v>59</v>
      </c>
      <c r="L208" s="28"/>
      <c r="M208" s="28"/>
      <c r="N208" s="4" cm="1">
        <f t="array" ref="N208">_xlfn.IFS(E208="MOLINOS CHAMPION S.F",42,E208="PROPALCOL",42,E208="MASTERTEC",42,E208="GANADERIA OVIA",42,E208="ENGORDE",40,E208="DESCARTES",40,E208="REPRODUCTORA",10,E208="BAJO PESO",40,E208="CHICKENCORP",42)</f>
        <v>40</v>
      </c>
      <c r="O208" s="7">
        <f t="shared" si="47"/>
        <v>0.81468760651267669</v>
      </c>
      <c r="P208" s="22">
        <f t="shared" si="48"/>
        <v>105.36187845303867</v>
      </c>
      <c r="Q208" s="22">
        <f t="shared" si="49"/>
        <v>85.837016574585633</v>
      </c>
      <c r="R208" s="7">
        <f t="shared" si="50"/>
        <v>0.96685082872928174</v>
      </c>
      <c r="S208" s="28">
        <v>38</v>
      </c>
      <c r="T208" s="32">
        <v>0.29166666666666669</v>
      </c>
      <c r="U208" s="32">
        <v>0.66180555555555554</v>
      </c>
      <c r="V208" s="34"/>
      <c r="W208" s="34"/>
      <c r="X208" s="33"/>
      <c r="Y208" s="2">
        <f t="shared" si="51"/>
        <v>0</v>
      </c>
      <c r="Z208" s="33">
        <v>1</v>
      </c>
      <c r="AA208" s="2">
        <f t="shared" si="52"/>
        <v>4.5250000000000004</v>
      </c>
      <c r="AB208" s="8">
        <f t="shared" si="59"/>
        <v>7.8833333333333329</v>
      </c>
      <c r="AC208" s="8">
        <f t="shared" si="58"/>
        <v>3.3583333333333325</v>
      </c>
      <c r="AD208" s="10">
        <f t="shared" si="53"/>
        <v>22.959830866807611</v>
      </c>
      <c r="AE208" s="2">
        <f t="shared" si="54"/>
        <v>51.86</v>
      </c>
      <c r="AF208" s="9">
        <f t="shared" si="57"/>
        <v>0.25782688766114203</v>
      </c>
      <c r="AG208" s="9">
        <f t="shared" si="55"/>
        <v>0.57399577167019022</v>
      </c>
      <c r="AH208" s="70">
        <f t="shared" si="56"/>
        <v>0.14308574632357246</v>
      </c>
      <c r="AI208" s="35"/>
    </row>
    <row r="209" spans="1:35" x14ac:dyDescent="0.25">
      <c r="A209" s="28">
        <v>26</v>
      </c>
      <c r="B209" s="29">
        <v>46197</v>
      </c>
      <c r="C209" s="1" t="s">
        <v>34</v>
      </c>
      <c r="D209" s="1">
        <v>5470</v>
      </c>
      <c r="E209" s="1" t="s">
        <v>35</v>
      </c>
      <c r="F209" s="30" t="s">
        <v>36</v>
      </c>
      <c r="G209" s="28">
        <v>6929.9</v>
      </c>
      <c r="H209" s="28">
        <v>5085.1499999999996</v>
      </c>
      <c r="I209" s="28">
        <v>60</v>
      </c>
      <c r="J209" s="28"/>
      <c r="K209" s="28"/>
      <c r="L209" s="28"/>
      <c r="M209" s="28"/>
      <c r="N209" s="4" cm="1">
        <f t="array" ref="N209">_xlfn.IFS(E209="MOLINOS CHAMPION S.F",42,E209="PROPALCOL",42,E209="MASTERTEC",42,E209="GANADERIA OVIA",42,E209="ENGORDE",40,E209="DESCARTES",40,E209="REPRODUCTORA",10,E209="BAJO PESO",40,E209="CHICKENCORP",42)</f>
        <v>42</v>
      </c>
      <c r="O209" s="7">
        <f t="shared" si="47"/>
        <v>0.73379846751035371</v>
      </c>
      <c r="P209" s="22">
        <f t="shared" si="48"/>
        <v>115.49833333333332</v>
      </c>
      <c r="Q209" s="22">
        <f t="shared" si="49"/>
        <v>84.752499999999998</v>
      </c>
      <c r="R209" s="7">
        <f t="shared" si="50"/>
        <v>1</v>
      </c>
      <c r="S209" s="28">
        <v>23</v>
      </c>
      <c r="T209" s="32">
        <v>0.29166666666666669</v>
      </c>
      <c r="U209" s="32">
        <v>0.3888888888888889</v>
      </c>
      <c r="V209" s="34"/>
      <c r="W209" s="34"/>
      <c r="X209" s="33"/>
      <c r="Y209" s="2">
        <f t="shared" si="51"/>
        <v>0</v>
      </c>
      <c r="Z209" s="33"/>
      <c r="AA209" s="2">
        <f t="shared" si="52"/>
        <v>1.4285714285714286</v>
      </c>
      <c r="AB209" s="8">
        <f t="shared" si="59"/>
        <v>2.3333333333333335</v>
      </c>
      <c r="AC209" s="8">
        <f t="shared" si="58"/>
        <v>0.90476190476190488</v>
      </c>
      <c r="AD209" s="10">
        <f t="shared" si="53"/>
        <v>25.714285714285712</v>
      </c>
      <c r="AE209" s="2">
        <f t="shared" si="54"/>
        <v>94.75</v>
      </c>
      <c r="AF209" s="9">
        <f t="shared" si="57"/>
        <v>0.36666666666666659</v>
      </c>
      <c r="AG209" s="9">
        <f t="shared" si="55"/>
        <v>0.61224489795918358</v>
      </c>
      <c r="AH209" s="70">
        <f t="shared" si="56"/>
        <v>0.22448979591836726</v>
      </c>
      <c r="AI209" s="35"/>
    </row>
    <row r="210" spans="1:35" x14ac:dyDescent="0.25">
      <c r="A210" s="28">
        <v>26</v>
      </c>
      <c r="B210" s="29">
        <v>46197</v>
      </c>
      <c r="C210" s="1" t="s">
        <v>34</v>
      </c>
      <c r="D210" s="1">
        <v>5470</v>
      </c>
      <c r="E210" s="1" t="s">
        <v>35</v>
      </c>
      <c r="F210" s="30" t="s">
        <v>36</v>
      </c>
      <c r="G210" s="28">
        <v>6929.9</v>
      </c>
      <c r="H210" s="28">
        <v>5085.1499999999996</v>
      </c>
      <c r="I210" s="28">
        <v>60</v>
      </c>
      <c r="J210" s="28">
        <v>6</v>
      </c>
      <c r="K210" s="28" t="s">
        <v>59</v>
      </c>
      <c r="L210" s="28"/>
      <c r="M210" s="28"/>
      <c r="N210" s="4" cm="1">
        <f t="array" ref="N210">_xlfn.IFS(E210="MOLINOS CHAMPION S.F",42,E210="PROPALCOL",42,E210="MASTERTEC",42,E210="GANADERIA OVIA",42,E210="ENGORDE",40,E210="DESCARTES",40,E210="REPRODUCTORA",10,E210="BAJO PESO",40,E210="CHICKENCORP",42)</f>
        <v>42</v>
      </c>
      <c r="O210" s="7">
        <f t="shared" si="47"/>
        <v>0.73379846751035371</v>
      </c>
      <c r="P210" s="22">
        <f t="shared" si="48"/>
        <v>115.49833333333332</v>
      </c>
      <c r="Q210" s="22">
        <f t="shared" si="49"/>
        <v>84.752499999999998</v>
      </c>
      <c r="R210" s="7">
        <f t="shared" si="50"/>
        <v>0.9</v>
      </c>
      <c r="S210" s="28">
        <v>23</v>
      </c>
      <c r="T210" s="32">
        <v>0.29166666666666669</v>
      </c>
      <c r="U210" s="32">
        <v>0.3888888888888889</v>
      </c>
      <c r="V210" s="34"/>
      <c r="W210" s="34"/>
      <c r="X210" s="33"/>
      <c r="Y210" s="2">
        <f t="shared" si="51"/>
        <v>0</v>
      </c>
      <c r="Z210" s="33"/>
      <c r="AA210" s="2">
        <f t="shared" si="52"/>
        <v>1.4285714285714286</v>
      </c>
      <c r="AB210" s="8">
        <f t="shared" si="59"/>
        <v>2.3333333333333335</v>
      </c>
      <c r="AC210" s="8">
        <f t="shared" ref="AC210:AC219" si="60">IF(AB210&gt;AA210,AB210-AA210,0)</f>
        <v>0.90476190476190488</v>
      </c>
      <c r="AD210" s="10">
        <f t="shared" si="53"/>
        <v>25.714285714285712</v>
      </c>
      <c r="AE210" s="2">
        <f t="shared" si="54"/>
        <v>94.75</v>
      </c>
      <c r="AF210" s="9">
        <f t="shared" si="57"/>
        <v>0.36666666666666659</v>
      </c>
      <c r="AG210" s="9">
        <f t="shared" si="55"/>
        <v>0.61224489795918358</v>
      </c>
      <c r="AH210" s="70">
        <f t="shared" si="56"/>
        <v>0.20204081632653056</v>
      </c>
    </row>
    <row r="211" spans="1:35" x14ac:dyDescent="0.25">
      <c r="A211" s="28">
        <v>26</v>
      </c>
      <c r="B211" s="29">
        <v>46197</v>
      </c>
      <c r="C211" s="1" t="s">
        <v>34</v>
      </c>
      <c r="D211" s="1">
        <v>274</v>
      </c>
      <c r="E211" s="1" t="s">
        <v>60</v>
      </c>
      <c r="F211" s="30" t="s">
        <v>36</v>
      </c>
      <c r="G211" s="28">
        <v>6559.65</v>
      </c>
      <c r="H211" s="28">
        <v>4891.3500000000004</v>
      </c>
      <c r="I211" s="28">
        <v>60</v>
      </c>
      <c r="J211" s="28">
        <v>4</v>
      </c>
      <c r="K211" s="28" t="s">
        <v>59</v>
      </c>
      <c r="L211" s="28"/>
      <c r="M211" s="28"/>
      <c r="N211" s="4" cm="1">
        <f t="array" ref="N211">_xlfn.IFS(E211="MOLINOS CHAMPION S.F",42,E211="PROPALCOL",42,E211="MASTERTEC",42,E211="GANADERIA OVIA",42,E211="ENGORDE",40,E211="DESCARTES",40,E211="REPRODUCTORA",10,E211="BAJO PESO",40,E211="CHICKENCORP",42)</f>
        <v>42</v>
      </c>
      <c r="O211" s="7">
        <f t="shared" si="47"/>
        <v>0.74567240630216558</v>
      </c>
      <c r="P211" s="22">
        <f t="shared" si="48"/>
        <v>109.3275</v>
      </c>
      <c r="Q211" s="22">
        <f t="shared" si="49"/>
        <v>81.522500000000008</v>
      </c>
      <c r="R211" s="7">
        <f t="shared" si="50"/>
        <v>0.93333333333333335</v>
      </c>
      <c r="S211" s="28">
        <v>29</v>
      </c>
      <c r="T211" s="32">
        <v>0.44791666666666669</v>
      </c>
      <c r="U211" s="32">
        <v>0.52500000000000002</v>
      </c>
      <c r="V211" s="34"/>
      <c r="W211" s="34"/>
      <c r="X211" s="33"/>
      <c r="Y211" s="2">
        <f t="shared" si="51"/>
        <v>0</v>
      </c>
      <c r="Z211" s="33"/>
      <c r="AA211" s="2">
        <f t="shared" si="52"/>
        <v>1.4285714285714286</v>
      </c>
      <c r="AB211" s="8">
        <f t="shared" si="59"/>
        <v>1.85</v>
      </c>
      <c r="AC211" s="8">
        <f t="shared" si="60"/>
        <v>0.42142857142857149</v>
      </c>
      <c r="AD211" s="10">
        <f t="shared" si="53"/>
        <v>32.432432432432428</v>
      </c>
      <c r="AE211" s="2">
        <f t="shared" si="54"/>
        <v>91.17</v>
      </c>
      <c r="AF211" s="9">
        <f t="shared" si="57"/>
        <v>0.70499999999999996</v>
      </c>
      <c r="AG211" s="9">
        <f t="shared" si="55"/>
        <v>0.7722007722007721</v>
      </c>
      <c r="AH211" s="70">
        <f t="shared" si="56"/>
        <v>0.50810810810810803</v>
      </c>
    </row>
    <row r="212" spans="1:35" x14ac:dyDescent="0.25">
      <c r="A212" s="28">
        <v>26</v>
      </c>
      <c r="B212" s="29">
        <v>46197</v>
      </c>
      <c r="C212" s="1" t="s">
        <v>34</v>
      </c>
      <c r="D212" s="1">
        <v>274</v>
      </c>
      <c r="E212" s="1" t="s">
        <v>37</v>
      </c>
      <c r="F212" s="30" t="s">
        <v>36</v>
      </c>
      <c r="G212" s="28">
        <v>20151.400000000001</v>
      </c>
      <c r="H212" s="28">
        <v>16011.9</v>
      </c>
      <c r="I212" s="28">
        <v>223</v>
      </c>
      <c r="J212" s="28">
        <v>11</v>
      </c>
      <c r="K212" s="28" t="s">
        <v>61</v>
      </c>
      <c r="L212" s="28"/>
      <c r="M212" s="28"/>
      <c r="N212" s="4" cm="1">
        <f t="array" ref="N212">_xlfn.IFS(E212="MOLINOS CHAMPION S.F",42,E212="PROPALCOL",42,E212="MASTERTEC",42,E212="GANADERIA OVIA",42,E212="ENGORDE",40,E212="DESCARTES",40,E212="REPRODUCTORA",10,E212="BAJO PESO",40,E212="CHICKENCORP",42)</f>
        <v>40</v>
      </c>
      <c r="O212" s="7">
        <f t="shared" si="47"/>
        <v>0.79458002917911408</v>
      </c>
      <c r="P212" s="22">
        <f t="shared" si="48"/>
        <v>90.365022421524671</v>
      </c>
      <c r="Q212" s="22">
        <f t="shared" si="49"/>
        <v>71.802242152466363</v>
      </c>
      <c r="R212" s="7">
        <f t="shared" si="50"/>
        <v>0.95067264573991028</v>
      </c>
      <c r="S212" s="28">
        <v>29</v>
      </c>
      <c r="T212" s="32">
        <v>0.36805555555555558</v>
      </c>
      <c r="U212" s="32">
        <v>0.77430555555555558</v>
      </c>
      <c r="V212" s="34"/>
      <c r="W212" s="34"/>
      <c r="X212" s="33"/>
      <c r="Y212" s="2">
        <f t="shared" si="51"/>
        <v>0</v>
      </c>
      <c r="Z212" s="33">
        <v>1</v>
      </c>
      <c r="AA212" s="2">
        <f t="shared" si="52"/>
        <v>5.5750000000000002</v>
      </c>
      <c r="AB212" s="8">
        <f t="shared" si="59"/>
        <v>8.75</v>
      </c>
      <c r="AC212" s="8">
        <f t="shared" si="60"/>
        <v>3.1749999999999998</v>
      </c>
      <c r="AD212" s="10">
        <f t="shared" si="53"/>
        <v>25.485714285714284</v>
      </c>
      <c r="AE212" s="2">
        <f t="shared" si="54"/>
        <v>63.1</v>
      </c>
      <c r="AF212" s="9">
        <f t="shared" si="57"/>
        <v>0.43049327354260097</v>
      </c>
      <c r="AG212" s="9">
        <f t="shared" si="55"/>
        <v>0.63714285714285712</v>
      </c>
      <c r="AH212" s="70">
        <f t="shared" si="56"/>
        <v>0.26075592568866113</v>
      </c>
    </row>
    <row r="213" spans="1:35" x14ac:dyDescent="0.25">
      <c r="A213" s="28">
        <v>26</v>
      </c>
      <c r="B213" s="29">
        <v>46198</v>
      </c>
      <c r="C213" s="1" t="s">
        <v>34</v>
      </c>
      <c r="D213" s="1">
        <v>274</v>
      </c>
      <c r="E213" s="1" t="s">
        <v>37</v>
      </c>
      <c r="F213" s="30" t="s">
        <v>36</v>
      </c>
      <c r="G213" s="28">
        <v>15413.85</v>
      </c>
      <c r="H213" s="28">
        <v>12213.7</v>
      </c>
      <c r="I213" s="28">
        <v>180</v>
      </c>
      <c r="J213" s="28">
        <v>9</v>
      </c>
      <c r="K213" s="28" t="s">
        <v>59</v>
      </c>
      <c r="L213" s="28"/>
      <c r="M213" s="28"/>
      <c r="N213" s="4" cm="1">
        <f t="array" ref="N213">_xlfn.IFS(E213="MOLINOS CHAMPION S.F",42,E213="PROPALCOL",42,E213="MASTERTEC",42,E213="GANADERIA OVIA",42,E213="ENGORDE",40,E213="DESCARTES",40,E213="REPRODUCTORA",10,E213="BAJO PESO",40,E213="CHICKENCORP",42)</f>
        <v>40</v>
      </c>
      <c r="O213" s="7">
        <f t="shared" si="47"/>
        <v>0.79238477083921277</v>
      </c>
      <c r="P213" s="22">
        <f t="shared" si="48"/>
        <v>85.632500000000007</v>
      </c>
      <c r="Q213" s="22">
        <f t="shared" si="49"/>
        <v>67.853888888888889</v>
      </c>
      <c r="R213" s="7">
        <f t="shared" si="50"/>
        <v>0.95</v>
      </c>
      <c r="S213" s="28">
        <v>28</v>
      </c>
      <c r="T213" s="32">
        <v>0.48958333333333331</v>
      </c>
      <c r="U213" s="32">
        <v>0.6875</v>
      </c>
      <c r="V213" s="36">
        <v>0.45833333333333331</v>
      </c>
      <c r="W213" s="36">
        <v>0.48958333333333331</v>
      </c>
      <c r="X213" s="33" t="s">
        <v>55</v>
      </c>
      <c r="Y213" s="2">
        <f t="shared" si="51"/>
        <v>0.75</v>
      </c>
      <c r="Z213" s="33">
        <v>1</v>
      </c>
      <c r="AA213" s="2">
        <f t="shared" si="52"/>
        <v>4.5</v>
      </c>
      <c r="AB213" s="8">
        <f t="shared" si="59"/>
        <v>3</v>
      </c>
      <c r="AC213" s="8">
        <f t="shared" si="60"/>
        <v>0</v>
      </c>
      <c r="AD213" s="10">
        <f t="shared" si="53"/>
        <v>60</v>
      </c>
      <c r="AE213" s="2">
        <f t="shared" si="54"/>
        <v>145.4</v>
      </c>
      <c r="AF213" s="9">
        <f t="shared" si="57"/>
        <v>0.83333333333333337</v>
      </c>
      <c r="AG213" s="9">
        <f t="shared" si="55"/>
        <v>1</v>
      </c>
      <c r="AH213" s="70">
        <f t="shared" si="56"/>
        <v>0.79166666666666663</v>
      </c>
    </row>
    <row r="214" spans="1:35" x14ac:dyDescent="0.25">
      <c r="A214" s="28">
        <v>26</v>
      </c>
      <c r="B214" s="29">
        <v>46200</v>
      </c>
      <c r="C214" s="1" t="s">
        <v>34</v>
      </c>
      <c r="D214" s="1">
        <v>274</v>
      </c>
      <c r="E214" s="1" t="s">
        <v>37</v>
      </c>
      <c r="F214" s="30" t="s">
        <v>36</v>
      </c>
      <c r="G214" s="28">
        <v>23383.4</v>
      </c>
      <c r="H214" s="28">
        <v>18620.400000000001</v>
      </c>
      <c r="I214" s="28">
        <v>218</v>
      </c>
      <c r="J214" s="28">
        <v>23</v>
      </c>
      <c r="K214" s="28" t="s">
        <v>59</v>
      </c>
      <c r="L214" s="28"/>
      <c r="M214" s="28"/>
      <c r="N214" s="4" cm="1">
        <f t="array" ref="N214">_xlfn.IFS(E214="MOLINOS CHAMPION S.F",42,E214="PROPALCOL",42,E214="MASTERTEC",42,E214="GANADERIA OVIA",42,E214="ENGORDE",40,E214="DESCARTES",40,E214="REPRODUCTORA",10,E214="BAJO PESO",40,E214="CHICKENCORP",42)</f>
        <v>40</v>
      </c>
      <c r="O214" s="7">
        <f t="shared" si="47"/>
        <v>0.79630849234927348</v>
      </c>
      <c r="P214" s="22">
        <f t="shared" si="48"/>
        <v>107.26330275229358</v>
      </c>
      <c r="Q214" s="22">
        <f t="shared" si="49"/>
        <v>85.414678899082574</v>
      </c>
      <c r="R214" s="7">
        <f t="shared" si="50"/>
        <v>0.89449541284403666</v>
      </c>
      <c r="S214" s="28">
        <v>33</v>
      </c>
      <c r="T214" s="32">
        <v>0.25</v>
      </c>
      <c r="U214" s="32">
        <v>0.46041666666666664</v>
      </c>
      <c r="V214" s="34"/>
      <c r="W214" s="34"/>
      <c r="X214" s="33"/>
      <c r="Y214" s="2">
        <f t="shared" si="51"/>
        <v>0</v>
      </c>
      <c r="Z214" s="33">
        <v>1</v>
      </c>
      <c r="AA214" s="2">
        <f t="shared" si="52"/>
        <v>5.45</v>
      </c>
      <c r="AB214" s="8">
        <f t="shared" si="59"/>
        <v>4.05</v>
      </c>
      <c r="AC214" s="8">
        <f t="shared" si="60"/>
        <v>0</v>
      </c>
      <c r="AD214" s="10">
        <f t="shared" si="53"/>
        <v>53.827160493827165</v>
      </c>
      <c r="AE214" s="2">
        <f t="shared" si="54"/>
        <v>139.32</v>
      </c>
      <c r="AF214" s="9">
        <f t="shared" si="57"/>
        <v>1</v>
      </c>
      <c r="AG214" s="9">
        <f t="shared" si="55"/>
        <v>1</v>
      </c>
      <c r="AH214" s="70">
        <f t="shared" si="56"/>
        <v>0.89449541284403666</v>
      </c>
    </row>
    <row r="215" spans="1:35" x14ac:dyDescent="0.25">
      <c r="A215" s="28">
        <v>26</v>
      </c>
      <c r="B215" s="29">
        <v>46200</v>
      </c>
      <c r="C215" s="1" t="s">
        <v>38</v>
      </c>
      <c r="D215" s="31"/>
      <c r="E215" s="1" t="s">
        <v>39</v>
      </c>
      <c r="F215" s="30" t="s">
        <v>42</v>
      </c>
      <c r="G215" s="28">
        <v>2689.4</v>
      </c>
      <c r="H215" s="28">
        <v>1986.95</v>
      </c>
      <c r="I215" s="28">
        <v>12</v>
      </c>
      <c r="J215" s="28">
        <v>3</v>
      </c>
      <c r="K215" s="28" t="s">
        <v>59</v>
      </c>
      <c r="L215" s="28"/>
      <c r="M215" s="28"/>
      <c r="N215" s="4" cm="1">
        <f t="array" ref="N215">_xlfn.IFS(E215="MOLINOS CHAMPION S.F",42,E215="PROPALCOL",42,E215="MASTERTEC",42,E215="GANADERIA OVIA",42,E215="ENGORDE",40,E215="DESCARTES",40,E215="REPRODUCTORA",10,E215="BAJO PESO",40,E215="CHICKENCORP",42)</f>
        <v>10</v>
      </c>
      <c r="O215" s="7">
        <f t="shared" si="47"/>
        <v>0.73880791254554923</v>
      </c>
      <c r="P215" s="22">
        <f t="shared" si="48"/>
        <v>224.11666666666667</v>
      </c>
      <c r="Q215" s="22">
        <f t="shared" si="49"/>
        <v>165.57916666666668</v>
      </c>
      <c r="R215" s="7">
        <f t="shared" si="50"/>
        <v>0.75</v>
      </c>
      <c r="S215" s="28">
        <v>33</v>
      </c>
      <c r="T215" s="32">
        <v>0.44444444444444442</v>
      </c>
      <c r="U215" s="32">
        <v>0.51388888888888884</v>
      </c>
      <c r="V215" s="34"/>
      <c r="W215" s="34"/>
      <c r="X215" s="33"/>
      <c r="Y215" s="2">
        <f t="shared" si="51"/>
        <v>0</v>
      </c>
      <c r="Z215" s="33">
        <v>1</v>
      </c>
      <c r="AA215" s="2">
        <f t="shared" si="52"/>
        <v>1.2</v>
      </c>
      <c r="AB215" s="8">
        <f t="shared" si="59"/>
        <v>0.66666666666666652</v>
      </c>
      <c r="AC215" s="8">
        <f t="shared" si="60"/>
        <v>0</v>
      </c>
      <c r="AD215" s="10">
        <f t="shared" si="53"/>
        <v>18.000000000000004</v>
      </c>
      <c r="AE215" s="2">
        <f t="shared" si="54"/>
        <v>90.32</v>
      </c>
      <c r="AF215" s="9">
        <f t="shared" si="57"/>
        <v>1</v>
      </c>
      <c r="AG215" s="9">
        <f t="shared" si="55"/>
        <v>1</v>
      </c>
      <c r="AH215" s="70">
        <f t="shared" si="56"/>
        <v>0.75</v>
      </c>
    </row>
    <row r="216" spans="1:35" x14ac:dyDescent="0.25">
      <c r="A216" s="28">
        <v>27</v>
      </c>
      <c r="B216" s="29">
        <v>46202</v>
      </c>
      <c r="C216" s="1" t="s">
        <v>34</v>
      </c>
      <c r="D216" s="1">
        <v>5470</v>
      </c>
      <c r="E216" s="1" t="s">
        <v>35</v>
      </c>
      <c r="F216" s="30" t="s">
        <v>36</v>
      </c>
      <c r="G216" s="28">
        <v>12580</v>
      </c>
      <c r="H216" s="28">
        <v>9346.1</v>
      </c>
      <c r="I216" s="28">
        <v>120</v>
      </c>
      <c r="J216" s="28">
        <v>13</v>
      </c>
      <c r="K216" s="28" t="s">
        <v>59</v>
      </c>
      <c r="L216" s="28"/>
      <c r="M216" s="28"/>
      <c r="N216" s="4" cm="1">
        <f t="array" ref="N216">_xlfn.IFS(E216="MOLINOS CHAMPION S.F",42,E216="PROPALCOL",42,E216="MASTERTEC",42,E216="GANADERIA OVIA",42,E216="ENGORDE",40,E216="DESCARTES",40,E216="REPRODUCTORA",10,E216="BAJO PESO",40,E216="CHICKENCORP",42)</f>
        <v>42</v>
      </c>
      <c r="O216" s="7">
        <f t="shared" si="47"/>
        <v>0.74293322734499212</v>
      </c>
      <c r="P216" s="22">
        <f t="shared" si="48"/>
        <v>104.83333333333333</v>
      </c>
      <c r="Q216" s="22">
        <f t="shared" si="49"/>
        <v>77.884166666666673</v>
      </c>
      <c r="R216" s="7">
        <f t="shared" si="50"/>
        <v>0.89166666666666672</v>
      </c>
      <c r="S216" s="28">
        <v>20</v>
      </c>
      <c r="T216" s="32">
        <v>0.27777777777777779</v>
      </c>
      <c r="U216" s="32">
        <v>0.46736111111111112</v>
      </c>
      <c r="V216" s="34"/>
      <c r="W216" s="34"/>
      <c r="X216" s="33"/>
      <c r="Y216" s="2">
        <f t="shared" si="51"/>
        <v>0</v>
      </c>
      <c r="Z216" s="33"/>
      <c r="AA216" s="2">
        <f t="shared" si="52"/>
        <v>2.8571428571428572</v>
      </c>
      <c r="AB216" s="8">
        <f t="shared" si="59"/>
        <v>4.55</v>
      </c>
      <c r="AC216" s="8">
        <f t="shared" si="60"/>
        <v>1.6928571428571426</v>
      </c>
      <c r="AD216" s="10">
        <f t="shared" si="53"/>
        <v>26.373626373626376</v>
      </c>
      <c r="AE216" s="2">
        <f t="shared" si="54"/>
        <v>102.7</v>
      </c>
      <c r="AF216" s="9">
        <f t="shared" si="57"/>
        <v>0.40750000000000008</v>
      </c>
      <c r="AG216" s="9">
        <f t="shared" si="55"/>
        <v>0.62794348508634223</v>
      </c>
      <c r="AH216" s="70">
        <f t="shared" si="56"/>
        <v>0.22816588173731037</v>
      </c>
    </row>
    <row r="217" spans="1:35" x14ac:dyDescent="0.25">
      <c r="A217" s="28">
        <v>27</v>
      </c>
      <c r="B217" s="29">
        <v>46202</v>
      </c>
      <c r="C217" s="1" t="s">
        <v>34</v>
      </c>
      <c r="D217" s="1">
        <v>274</v>
      </c>
      <c r="E217" s="1" t="s">
        <v>37</v>
      </c>
      <c r="F217" s="30" t="s">
        <v>36</v>
      </c>
      <c r="G217" s="28">
        <v>13807.85</v>
      </c>
      <c r="H217" s="28">
        <v>10819.7</v>
      </c>
      <c r="I217" s="28">
        <v>120</v>
      </c>
      <c r="J217" s="28">
        <v>5</v>
      </c>
      <c r="K217" s="28" t="s">
        <v>59</v>
      </c>
      <c r="L217" s="28"/>
      <c r="M217" s="28"/>
      <c r="N217" s="4" cm="1">
        <f t="array" ref="N217">_xlfn.IFS(E217="MOLINOS CHAMPION S.F",42,E217="PROPALCOL",42,E217="MASTERTEC",42,E217="GANADERIA OVIA",42,E217="ENGORDE",40,E217="DESCARTES",40,E217="REPRODUCTORA",10,E217="BAJO PESO",40,E217="CHICKENCORP",42)</f>
        <v>40</v>
      </c>
      <c r="O217" s="7">
        <f t="shared" si="47"/>
        <v>0.78359049381330192</v>
      </c>
      <c r="P217" s="22">
        <f t="shared" si="48"/>
        <v>115.06541666666666</v>
      </c>
      <c r="Q217" s="22">
        <f t="shared" si="49"/>
        <v>90.164166666666674</v>
      </c>
      <c r="R217" s="7">
        <f t="shared" si="50"/>
        <v>0.95833333333333337</v>
      </c>
      <c r="S217" s="28">
        <v>28</v>
      </c>
      <c r="T217" s="32">
        <v>0.4861111111111111</v>
      </c>
      <c r="U217" s="32">
        <v>0.64583333333333337</v>
      </c>
      <c r="V217" s="34"/>
      <c r="W217" s="34"/>
      <c r="X217" s="33"/>
      <c r="Y217" s="2">
        <f t="shared" si="51"/>
        <v>0</v>
      </c>
      <c r="Z217" s="33">
        <v>1</v>
      </c>
      <c r="AA217" s="2">
        <f t="shared" si="52"/>
        <v>3</v>
      </c>
      <c r="AB217" s="8">
        <f t="shared" si="59"/>
        <v>2.8333333333333335</v>
      </c>
      <c r="AC217" s="8">
        <f t="shared" si="60"/>
        <v>0</v>
      </c>
      <c r="AD217" s="10">
        <f t="shared" si="53"/>
        <v>42.352941176470587</v>
      </c>
      <c r="AE217" s="2">
        <f t="shared" si="54"/>
        <v>136.38</v>
      </c>
      <c r="AF217" s="9">
        <f t="shared" si="57"/>
        <v>1</v>
      </c>
      <c r="AG217" s="9">
        <f t="shared" si="55"/>
        <v>1</v>
      </c>
      <c r="AH217" s="70">
        <f t="shared" si="56"/>
        <v>0.95833333333333337</v>
      </c>
    </row>
    <row r="218" spans="1:35" x14ac:dyDescent="0.25">
      <c r="A218" s="28">
        <v>27</v>
      </c>
      <c r="B218" s="29">
        <v>46203</v>
      </c>
      <c r="C218" s="1" t="s">
        <v>34</v>
      </c>
      <c r="D218" s="1">
        <v>5470</v>
      </c>
      <c r="E218" s="1" t="s">
        <v>35</v>
      </c>
      <c r="F218" s="30" t="s">
        <v>36</v>
      </c>
      <c r="G218" s="28">
        <v>12903.65</v>
      </c>
      <c r="H218" s="28">
        <v>9609.4500000000007</v>
      </c>
      <c r="I218" s="28">
        <v>120</v>
      </c>
      <c r="J218" s="28">
        <v>6</v>
      </c>
      <c r="K218" s="28" t="s">
        <v>59</v>
      </c>
      <c r="L218" s="28"/>
      <c r="M218" s="28"/>
      <c r="N218" s="4" cm="1">
        <f t="array" ref="N218">_xlfn.IFS(E218="MOLINOS CHAMPION S.F",42,E218="PROPALCOL",42,E218="MASTERTEC",42,E218="GANADERIA OVIA",42,E218="ENGORDE",40,E218="DESCARTES",40,E218="REPRODUCTORA",10,E218="BAJO PESO",40,E218="CHICKENCORP",42)</f>
        <v>42</v>
      </c>
      <c r="O218" s="7">
        <f t="shared" si="47"/>
        <v>0.74470789272802662</v>
      </c>
      <c r="P218" s="22">
        <f t="shared" si="48"/>
        <v>107.53041666666667</v>
      </c>
      <c r="Q218" s="22">
        <f t="shared" si="49"/>
        <v>80.078749999999999</v>
      </c>
      <c r="R218" s="7">
        <f t="shared" si="50"/>
        <v>0.95</v>
      </c>
      <c r="S218" s="28">
        <v>30</v>
      </c>
      <c r="T218" s="32">
        <v>0.3576388888888889</v>
      </c>
      <c r="U218" s="32">
        <v>0.52083333333333337</v>
      </c>
      <c r="V218" s="36">
        <v>0.43402777777777779</v>
      </c>
      <c r="W218" s="36">
        <v>0.44791666666666669</v>
      </c>
      <c r="X218" s="33" t="s">
        <v>55</v>
      </c>
      <c r="Y218" s="2">
        <f t="shared" si="51"/>
        <v>0.33333333333333331</v>
      </c>
      <c r="Z218" s="33"/>
      <c r="AA218" s="2">
        <f t="shared" si="52"/>
        <v>2.8571428571428572</v>
      </c>
      <c r="AB218" s="8">
        <f t="shared" si="59"/>
        <v>3.583333333333333</v>
      </c>
      <c r="AC218" s="8">
        <f t="shared" si="60"/>
        <v>0.72619047619047583</v>
      </c>
      <c r="AD218" s="10">
        <f t="shared" si="53"/>
        <v>33.488372093023258</v>
      </c>
      <c r="AE218" s="2">
        <f t="shared" si="54"/>
        <v>89.39</v>
      </c>
      <c r="AF218" s="9">
        <f t="shared" si="57"/>
        <v>0.62916666666666687</v>
      </c>
      <c r="AG218" s="9">
        <f t="shared" si="55"/>
        <v>0.79734219269103002</v>
      </c>
      <c r="AH218" s="70">
        <f t="shared" si="56"/>
        <v>0.47657807308970118</v>
      </c>
    </row>
    <row r="219" spans="1:35" x14ac:dyDescent="0.25">
      <c r="A219" s="38">
        <v>27</v>
      </c>
      <c r="B219" s="39">
        <v>46203</v>
      </c>
      <c r="C219" s="17" t="s">
        <v>34</v>
      </c>
      <c r="D219" s="17">
        <v>274</v>
      </c>
      <c r="E219" s="17" t="s">
        <v>37</v>
      </c>
      <c r="F219" s="40" t="s">
        <v>36</v>
      </c>
      <c r="G219" s="38">
        <v>18203.849999999999</v>
      </c>
      <c r="H219" s="38">
        <v>14477.15</v>
      </c>
      <c r="I219" s="38">
        <v>180</v>
      </c>
      <c r="J219" s="38">
        <v>7</v>
      </c>
      <c r="K219" s="38" t="s">
        <v>59</v>
      </c>
      <c r="L219" s="38"/>
      <c r="M219" s="38"/>
      <c r="N219" s="19" cm="1">
        <f t="array" ref="N219">_xlfn.IFS(E219="MOLINOS CHAMPION S.F",42,E219="PROPALCOL",42,E219="MASTERTEC",42,E219="GANADERIA OVIA",42,E219="ENGORDE",40,E219="DESCARTES",40,E219="REPRODUCTORA",10,E219="BAJO PESO",40,E219="CHICKENCORP",42)</f>
        <v>40</v>
      </c>
      <c r="O219" s="41">
        <f t="shared" si="47"/>
        <v>0.79527956998107552</v>
      </c>
      <c r="P219" s="42">
        <f t="shared" si="48"/>
        <v>101.13249999999999</v>
      </c>
      <c r="Q219" s="42">
        <f t="shared" si="49"/>
        <v>80.42861111111111</v>
      </c>
      <c r="R219" s="41">
        <f t="shared" si="50"/>
        <v>0.96111111111111114</v>
      </c>
      <c r="S219" s="38">
        <v>34</v>
      </c>
      <c r="T219" s="43">
        <v>0.2986111111111111</v>
      </c>
      <c r="U219" s="43">
        <v>0.66666666666666663</v>
      </c>
      <c r="V219" s="44"/>
      <c r="W219" s="44"/>
      <c r="X219" s="45"/>
      <c r="Y219" s="46">
        <f t="shared" si="51"/>
        <v>0</v>
      </c>
      <c r="Z219" s="45">
        <v>1</v>
      </c>
      <c r="AA219" s="46">
        <f t="shared" si="52"/>
        <v>4.5</v>
      </c>
      <c r="AB219" s="47">
        <f t="shared" si="59"/>
        <v>7.8333333333333339</v>
      </c>
      <c r="AC219" s="47">
        <f t="shared" si="60"/>
        <v>3.3333333333333339</v>
      </c>
      <c r="AD219" s="48">
        <f t="shared" si="53"/>
        <v>22.978723404255316</v>
      </c>
      <c r="AE219" s="46">
        <f t="shared" si="54"/>
        <v>54.36</v>
      </c>
      <c r="AF219" s="49">
        <f t="shared" si="57"/>
        <v>0.25925925925925913</v>
      </c>
      <c r="AG219" s="49">
        <f t="shared" si="55"/>
        <v>0.57446808510638292</v>
      </c>
      <c r="AH219" s="71">
        <f t="shared" si="56"/>
        <v>0.14314420803782499</v>
      </c>
    </row>
    <row r="220" spans="1:35" x14ac:dyDescent="0.25">
      <c r="A220" s="28">
        <v>27</v>
      </c>
      <c r="B220" s="29">
        <v>46204</v>
      </c>
      <c r="C220" s="1" t="s">
        <v>34</v>
      </c>
      <c r="D220" s="1">
        <v>5470</v>
      </c>
      <c r="E220" s="1" t="s">
        <v>35</v>
      </c>
      <c r="F220" s="31" t="s">
        <v>36</v>
      </c>
      <c r="G220" s="28">
        <v>6913.9499999999962</v>
      </c>
      <c r="H220" s="28">
        <v>5255.5999999999995</v>
      </c>
      <c r="I220" s="28">
        <v>60</v>
      </c>
      <c r="J220" s="28">
        <v>2</v>
      </c>
      <c r="K220" s="28" t="s">
        <v>62</v>
      </c>
      <c r="L220" s="28"/>
      <c r="M220" s="28"/>
      <c r="N220" s="19" cm="1">
        <f t="array" ref="N220">_xlfn.IFS(E220="MOLINOS CHAMPION S.F",42,E220="PROPALCOL",42,E220="MASTERTEC",42,E220="GANADERIA OVIA",42,E220="ENGORDE",40,E220="DESCARTES",40,E220="REPRODUCTORA",10,E220="BAJO PESO",40,E220="CHICKENCORP",42)</f>
        <v>42</v>
      </c>
      <c r="O220" s="41">
        <f t="shared" ref="O220:O221" si="61">IFERROR(H220/G220," ")</f>
        <v>0.76014434585150348</v>
      </c>
      <c r="P220" s="42">
        <f t="shared" ref="P220:P225" si="62">IFERROR(G220/I220," ")</f>
        <v>115.23249999999993</v>
      </c>
      <c r="Q220" s="42">
        <f t="shared" ref="Q220:Q225" si="63">IFERROR(H220/I220," ")</f>
        <v>87.59333333333332</v>
      </c>
      <c r="R220" s="41">
        <f t="shared" ref="R220:R224" si="64">IF(I220=0,0,(I220-J220)/I220)</f>
        <v>0.96666666666666667</v>
      </c>
      <c r="S220" s="28">
        <v>27</v>
      </c>
      <c r="T220" s="32">
        <v>0.29166666666666669</v>
      </c>
      <c r="U220" s="32">
        <v>0.36805555555555558</v>
      </c>
      <c r="V220" s="34"/>
      <c r="W220" s="34"/>
      <c r="X220" s="33"/>
      <c r="Y220" s="2"/>
      <c r="Z220" s="33"/>
      <c r="AA220" s="46">
        <f t="shared" ref="AA220:AA236" si="65">I220/N220</f>
        <v>1.4285714285714286</v>
      </c>
      <c r="AB220" s="47">
        <f t="shared" ref="AB220:AB233" si="66">(HOUR(U220-T220)+MINUTE(U220-T220)/60)-Z220-Y220</f>
        <v>1.8333333333333335</v>
      </c>
      <c r="AC220" s="47">
        <f t="shared" ref="AC220:AC233" si="67">IF(AB220&gt;AA220,AB220-AA220,0)</f>
        <v>0.40476190476190488</v>
      </c>
      <c r="AD220" s="48">
        <f t="shared" ref="AD220:AD233" si="68">I220/AB220</f>
        <v>32.727272727272727</v>
      </c>
      <c r="AE220" s="46">
        <f t="shared" ref="AE220:AE233" si="69">ROUND(H220/AB220/S220,2)</f>
        <v>106.17</v>
      </c>
      <c r="AF220" s="49">
        <f t="shared" ref="AF220:AF233" si="70">IF(AA220-AC220-Y220&lt;0,0,(AA220-AC220-Y220)/AA220)</f>
        <v>0.71666666666666656</v>
      </c>
      <c r="AG220" s="49">
        <f t="shared" ref="AG220:AG233" si="71">IFERROR(MIN(AD220/N220,1),0)</f>
        <v>0.77922077922077926</v>
      </c>
      <c r="AH220" s="71">
        <f t="shared" ref="AH220:AH233" si="72">R220*AF220*AG220</f>
        <v>0.53982683982683977</v>
      </c>
    </row>
    <row r="221" spans="1:35" x14ac:dyDescent="0.25">
      <c r="A221" s="22">
        <v>27</v>
      </c>
      <c r="B221" s="29">
        <v>46204</v>
      </c>
      <c r="C221" s="22" t="s">
        <v>34</v>
      </c>
      <c r="D221" s="22">
        <v>274</v>
      </c>
      <c r="E221" s="22" t="s">
        <v>37</v>
      </c>
      <c r="F221" s="22" t="s">
        <v>36</v>
      </c>
      <c r="G221" s="22">
        <v>19198.349999999995</v>
      </c>
      <c r="H221" s="22">
        <v>15751.800000000003</v>
      </c>
      <c r="I221" s="22">
        <v>180</v>
      </c>
      <c r="J221" s="22">
        <v>7</v>
      </c>
      <c r="K221" s="22" t="s">
        <v>62</v>
      </c>
      <c r="L221" s="22"/>
      <c r="M221" s="22"/>
      <c r="N221" s="19" cm="1">
        <f t="array" ref="N221">_xlfn.IFS(E221="MOLINOS CHAMPION S.F",42,E221="PROPALCOL",42,E221="MASTERTEC",42,E221="GANADERIA OVIA",42,E221="ENGORDE",40,E221="DESCARTES",40,E221="REPRODUCTORA",10,E221="BAJO PESO",40,E221="CHICKENCORP",42)</f>
        <v>40</v>
      </c>
      <c r="O221" s="41">
        <f t="shared" si="61"/>
        <v>0.82047675972153888</v>
      </c>
      <c r="P221" s="42">
        <f t="shared" si="62"/>
        <v>106.65749999999997</v>
      </c>
      <c r="Q221" s="42">
        <f t="shared" si="63"/>
        <v>87.510000000000019</v>
      </c>
      <c r="R221" s="41">
        <f t="shared" si="64"/>
        <v>0.96111111111111114</v>
      </c>
      <c r="S221" s="22">
        <v>29</v>
      </c>
      <c r="T221" s="23">
        <v>0.35069444444444442</v>
      </c>
      <c r="U221" s="23">
        <v>0.59375</v>
      </c>
      <c r="V221" s="22"/>
      <c r="W221" s="22"/>
      <c r="X221" s="22"/>
      <c r="Y221" s="22"/>
      <c r="Z221" s="22">
        <v>1</v>
      </c>
      <c r="AA221" s="46">
        <f t="shared" si="65"/>
        <v>4.5</v>
      </c>
      <c r="AB221" s="47">
        <f t="shared" si="66"/>
        <v>4.833333333333333</v>
      </c>
      <c r="AC221" s="47">
        <f t="shared" si="67"/>
        <v>0.33333333333333304</v>
      </c>
      <c r="AD221" s="48">
        <f t="shared" si="68"/>
        <v>37.241379310344833</v>
      </c>
      <c r="AE221" s="46">
        <f t="shared" si="69"/>
        <v>112.38</v>
      </c>
      <c r="AF221" s="49">
        <f t="shared" si="70"/>
        <v>0.92592592592592604</v>
      </c>
      <c r="AG221" s="49">
        <f t="shared" si="71"/>
        <v>0.93103448275862077</v>
      </c>
      <c r="AH221" s="71">
        <f t="shared" si="72"/>
        <v>0.82854406130268221</v>
      </c>
    </row>
    <row r="222" spans="1:35" x14ac:dyDescent="0.25">
      <c r="A222" s="22">
        <v>27</v>
      </c>
      <c r="B222" s="29">
        <v>46205</v>
      </c>
      <c r="C222" s="22" t="s">
        <v>34</v>
      </c>
      <c r="D222" s="22">
        <v>274</v>
      </c>
      <c r="E222" s="22" t="s">
        <v>37</v>
      </c>
      <c r="F222" s="22" t="s">
        <v>36</v>
      </c>
      <c r="G222" s="22">
        <v>21729.399999999998</v>
      </c>
      <c r="H222" s="22">
        <v>17544.499999999996</v>
      </c>
      <c r="I222" s="22">
        <v>219</v>
      </c>
      <c r="J222" s="22">
        <v>10</v>
      </c>
      <c r="K222" s="22" t="s">
        <v>62</v>
      </c>
      <c r="L222" s="22"/>
      <c r="M222" s="22"/>
      <c r="N222" s="19" cm="1">
        <f t="array" ref="N222">_xlfn.IFS(E222="MOLINOS CHAMPION S.F",42,E222="PROPALCOL",42,E222="MASTERTEC",42,E222="GANADERIA OVIA",42,E222="ENGORDE",40,E222="DESCARTES",40,E222="REPRODUCTORA",10,E222="BAJO PESO",40,E222="CHICKENCORP",42)</f>
        <v>40</v>
      </c>
      <c r="O222" s="41">
        <f t="shared" ref="O222" si="73">IFERROR(H222/G222," ")</f>
        <v>0.80740839599804859</v>
      </c>
      <c r="P222" s="22">
        <f t="shared" si="62"/>
        <v>99.221004566210041</v>
      </c>
      <c r="Q222" s="22">
        <f t="shared" si="63"/>
        <v>80.111872146118699</v>
      </c>
      <c r="R222" s="22">
        <f t="shared" si="64"/>
        <v>0.954337899543379</v>
      </c>
      <c r="S222" s="22">
        <v>37</v>
      </c>
      <c r="T222" s="23">
        <v>0.29166666666666669</v>
      </c>
      <c r="U222" s="23">
        <v>0.52500000000000002</v>
      </c>
      <c r="V222" s="22"/>
      <c r="W222" s="22"/>
      <c r="X222" s="22"/>
      <c r="Y222" s="22"/>
      <c r="Z222" s="22">
        <v>1</v>
      </c>
      <c r="AA222" s="46">
        <f t="shared" si="65"/>
        <v>5.4749999999999996</v>
      </c>
      <c r="AB222" s="47">
        <f t="shared" si="66"/>
        <v>4.5999999999999996</v>
      </c>
      <c r="AC222" s="47">
        <f t="shared" si="67"/>
        <v>0</v>
      </c>
      <c r="AD222" s="48">
        <f t="shared" si="68"/>
        <v>47.608695652173914</v>
      </c>
      <c r="AE222" s="46">
        <f t="shared" si="69"/>
        <v>103.08</v>
      </c>
      <c r="AF222" s="49">
        <f t="shared" si="70"/>
        <v>1</v>
      </c>
      <c r="AG222" s="49">
        <f t="shared" si="71"/>
        <v>1</v>
      </c>
      <c r="AH222" s="71">
        <f t="shared" si="72"/>
        <v>0.954337899543379</v>
      </c>
    </row>
    <row r="223" spans="1:35" x14ac:dyDescent="0.25">
      <c r="A223" s="22">
        <v>27</v>
      </c>
      <c r="B223" s="29">
        <v>46207</v>
      </c>
      <c r="C223" s="1" t="s">
        <v>34</v>
      </c>
      <c r="D223" s="1">
        <v>274</v>
      </c>
      <c r="E223" s="1" t="s">
        <v>37</v>
      </c>
      <c r="F223" s="30" t="s">
        <v>36</v>
      </c>
      <c r="G223" s="22">
        <v>23937.499999999993</v>
      </c>
      <c r="H223" s="22">
        <v>19344.700000000012</v>
      </c>
      <c r="I223" s="22">
        <v>220</v>
      </c>
      <c r="J223" s="22">
        <v>10</v>
      </c>
      <c r="K223" s="22" t="s">
        <v>62</v>
      </c>
      <c r="L223" s="22"/>
      <c r="M223" s="22"/>
      <c r="N223" s="19" cm="1">
        <f t="array" ref="N223">_xlfn.IFS(E223="MOLINOS CHAMPION S.F",42,E223="PROPALCOL",42,E223="MASTERTEC",42,E223="GANADERIA OVIA",42,E223="ENGORDE",40,E223="DESCARTES",40,E223="REPRODUCTORA",10,E223="BAJO PESO",40,E223="CHICKENCORP",42)</f>
        <v>40</v>
      </c>
      <c r="O223" s="41">
        <f t="shared" ref="O223:O228" si="74">IFERROR(H223/G223," ")</f>
        <v>0.80813368146214171</v>
      </c>
      <c r="P223" s="22">
        <f t="shared" si="62"/>
        <v>108.80681818181814</v>
      </c>
      <c r="Q223" s="22">
        <f t="shared" si="63"/>
        <v>87.930454545454594</v>
      </c>
      <c r="R223" s="22">
        <f t="shared" si="64"/>
        <v>0.95454545454545459</v>
      </c>
      <c r="S223" s="22">
        <v>23</v>
      </c>
      <c r="T223" s="23">
        <v>0.2638888888888889</v>
      </c>
      <c r="U223" s="23">
        <v>0.59027777777777779</v>
      </c>
      <c r="V223" s="22"/>
      <c r="W223" s="22"/>
      <c r="X223" s="22"/>
      <c r="Y223" s="22"/>
      <c r="Z223" s="22">
        <v>1</v>
      </c>
      <c r="AA223" s="46">
        <f t="shared" si="65"/>
        <v>5.5</v>
      </c>
      <c r="AB223" s="47">
        <f t="shared" si="66"/>
        <v>6.833333333333333</v>
      </c>
      <c r="AC223" s="47">
        <f t="shared" si="67"/>
        <v>1.333333333333333</v>
      </c>
      <c r="AD223" s="48">
        <f t="shared" si="68"/>
        <v>32.195121951219512</v>
      </c>
      <c r="AE223" s="46">
        <f t="shared" si="69"/>
        <v>123.08</v>
      </c>
      <c r="AF223" s="49">
        <f t="shared" si="70"/>
        <v>0.75757575757575768</v>
      </c>
      <c r="AG223" s="49">
        <f t="shared" si="71"/>
        <v>0.80487804878048785</v>
      </c>
      <c r="AH223" s="71">
        <f t="shared" si="72"/>
        <v>0.58203991130820409</v>
      </c>
    </row>
    <row r="224" spans="1:35" x14ac:dyDescent="0.25">
      <c r="A224" s="22">
        <v>27</v>
      </c>
      <c r="B224" s="29">
        <v>46207</v>
      </c>
      <c r="C224" s="1" t="s">
        <v>38</v>
      </c>
      <c r="D224" s="31"/>
      <c r="E224" s="1" t="s">
        <v>39</v>
      </c>
      <c r="F224" s="30" t="s">
        <v>42</v>
      </c>
      <c r="G224" s="22">
        <v>3587.95</v>
      </c>
      <c r="H224" s="22">
        <v>2644.0999999999995</v>
      </c>
      <c r="I224" s="22">
        <v>15</v>
      </c>
      <c r="J224" s="22">
        <v>3</v>
      </c>
      <c r="K224" s="22" t="s">
        <v>62</v>
      </c>
      <c r="L224" s="22"/>
      <c r="M224" s="22"/>
      <c r="N224" s="19" cm="1">
        <f t="array" ref="N224">_xlfn.IFS(E224="MOLINOS CHAMPION S.F",42,E224="PROPALCOL",42,E224="MASTERTEC",42,E224="GANADERIA OVIA",42,E224="ENGORDE",40,E224="DESCARTES",40,E224="REPRODUCTORA",10,E224="BAJO PESO",40,E224="CHICKENCORP",42)</f>
        <v>10</v>
      </c>
      <c r="O224" s="41">
        <f t="shared" si="74"/>
        <v>0.73693892055351928</v>
      </c>
      <c r="P224" s="22">
        <f t="shared" si="62"/>
        <v>239.19666666666666</v>
      </c>
      <c r="Q224" s="22">
        <f t="shared" si="63"/>
        <v>176.27333333333328</v>
      </c>
      <c r="R224" s="22">
        <f t="shared" si="64"/>
        <v>0.8</v>
      </c>
      <c r="S224" s="22">
        <v>23</v>
      </c>
      <c r="T224" s="23">
        <v>0.57291666666666663</v>
      </c>
      <c r="U224" s="23">
        <v>0.67708333333333337</v>
      </c>
      <c r="V224" s="22"/>
      <c r="W224" s="22"/>
      <c r="X224" s="22"/>
      <c r="Y224" s="22"/>
      <c r="Z224" s="22"/>
      <c r="AA224" s="46">
        <f t="shared" si="65"/>
        <v>1.5</v>
      </c>
      <c r="AB224" s="47">
        <f t="shared" si="66"/>
        <v>2.5</v>
      </c>
      <c r="AC224" s="47">
        <f t="shared" si="67"/>
        <v>1</v>
      </c>
      <c r="AD224" s="48">
        <f t="shared" si="68"/>
        <v>6</v>
      </c>
      <c r="AE224" s="46">
        <f t="shared" si="69"/>
        <v>45.98</v>
      </c>
      <c r="AF224" s="49">
        <f t="shared" si="70"/>
        <v>0.33333333333333331</v>
      </c>
      <c r="AG224" s="49">
        <f t="shared" si="71"/>
        <v>0.6</v>
      </c>
      <c r="AH224" s="71">
        <f t="shared" si="72"/>
        <v>0.16</v>
      </c>
    </row>
    <row r="225" spans="1:34" x14ac:dyDescent="0.25">
      <c r="A225" s="22">
        <v>28</v>
      </c>
      <c r="B225" s="29">
        <v>46209</v>
      </c>
      <c r="C225" s="1" t="s">
        <v>34</v>
      </c>
      <c r="D225" s="1">
        <v>5470</v>
      </c>
      <c r="E225" s="1" t="s">
        <v>35</v>
      </c>
      <c r="F225" s="31" t="s">
        <v>36</v>
      </c>
      <c r="G225" s="22">
        <v>6420.9999999999991</v>
      </c>
      <c r="H225" s="22">
        <v>4776.5499999999984</v>
      </c>
      <c r="I225" s="22">
        <v>60</v>
      </c>
      <c r="J225" s="22"/>
      <c r="K225" s="22"/>
      <c r="L225" s="22"/>
      <c r="M225" s="22"/>
      <c r="N225" s="19" cm="1">
        <f t="array" ref="N225">_xlfn.IFS(E225="MOLINOS CHAMPION S.F",42,E225="PROPALCOL",42,E225="MASTERTEC",42,E225="GANADERIA OVIA",42,E225="ENGORDE",40,E225="DESCARTES",40,E225="REPRODUCTORA",10,E225="BAJO PESO",40,E225="CHICKENCORP",42)</f>
        <v>42</v>
      </c>
      <c r="O225" s="41">
        <f t="shared" si="74"/>
        <v>0.74389503192649109</v>
      </c>
      <c r="P225" s="22">
        <f t="shared" si="62"/>
        <v>107.01666666666665</v>
      </c>
      <c r="Q225" s="22">
        <f t="shared" si="63"/>
        <v>79.609166666666638</v>
      </c>
      <c r="R225" s="22">
        <f>IF(I225=0,0,(I225-J225)/I225)</f>
        <v>1</v>
      </c>
      <c r="S225" s="22">
        <v>22</v>
      </c>
      <c r="T225" s="23">
        <v>0.25</v>
      </c>
      <c r="U225" s="23">
        <v>0.34375</v>
      </c>
      <c r="V225" s="22"/>
      <c r="W225" s="22"/>
      <c r="X225" s="22"/>
      <c r="Y225" s="22"/>
      <c r="Z225" s="22"/>
      <c r="AA225" s="46">
        <f t="shared" si="65"/>
        <v>1.4285714285714286</v>
      </c>
      <c r="AB225" s="47">
        <f t="shared" si="66"/>
        <v>2.25</v>
      </c>
      <c r="AC225" s="47">
        <f t="shared" si="67"/>
        <v>0.8214285714285714</v>
      </c>
      <c r="AD225" s="48">
        <f t="shared" si="68"/>
        <v>26.666666666666668</v>
      </c>
      <c r="AE225" s="46">
        <f t="shared" si="69"/>
        <v>96.5</v>
      </c>
      <c r="AF225" s="49">
        <f t="shared" si="70"/>
        <v>0.42500000000000004</v>
      </c>
      <c r="AG225" s="49">
        <f t="shared" si="71"/>
        <v>0.634920634920635</v>
      </c>
      <c r="AH225" s="71">
        <f t="shared" si="72"/>
        <v>0.26984126984126988</v>
      </c>
    </row>
    <row r="226" spans="1:34" x14ac:dyDescent="0.25">
      <c r="A226" s="22">
        <v>28</v>
      </c>
      <c r="B226" s="29">
        <v>46209</v>
      </c>
      <c r="C226" s="22" t="s">
        <v>34</v>
      </c>
      <c r="D226" s="22">
        <v>274</v>
      </c>
      <c r="E226" s="22" t="s">
        <v>37</v>
      </c>
      <c r="F226" s="22" t="s">
        <v>36</v>
      </c>
      <c r="G226" s="22">
        <v>17752.050000000003</v>
      </c>
      <c r="H226" s="22">
        <v>14401.949999999997</v>
      </c>
      <c r="I226" s="22">
        <v>150</v>
      </c>
      <c r="J226" s="22">
        <v>10</v>
      </c>
      <c r="K226" s="22" t="s">
        <v>62</v>
      </c>
      <c r="L226" s="22"/>
      <c r="M226" s="22"/>
      <c r="N226" s="19" cm="1">
        <f t="array" ref="N226">_xlfn.IFS(E226="MOLINOS CHAMPION S.F",42,E226="PROPALCOL",42,E226="MASTERTEC",42,E226="GANADERIA OVIA",42,E226="ENGORDE",40,E226="DESCARTES",40,E226="REPRODUCTORA",10,E226="BAJO PESO",40,E226="CHICKENCORP",42)</f>
        <v>40</v>
      </c>
      <c r="O226" s="41">
        <f t="shared" si="74"/>
        <v>0.81128376722688333</v>
      </c>
      <c r="P226" s="22">
        <f>IFERROR(G226/I226," ")</f>
        <v>118.34700000000002</v>
      </c>
      <c r="Q226" s="22">
        <f>IFERROR(H226/I226," ")</f>
        <v>96.012999999999977</v>
      </c>
      <c r="R226" s="22">
        <f>IF(I226=0,0,(I226-J226)/I226)</f>
        <v>0.93333333333333335</v>
      </c>
      <c r="S226" s="22">
        <v>22</v>
      </c>
      <c r="T226" s="23">
        <v>0.3263888888888889</v>
      </c>
      <c r="U226" s="23">
        <v>0.69097222222222221</v>
      </c>
      <c r="V226" s="22"/>
      <c r="W226" s="22"/>
      <c r="X226" s="22"/>
      <c r="Y226" s="22"/>
      <c r="Z226" s="22">
        <v>1</v>
      </c>
      <c r="AA226" s="46">
        <f t="shared" si="65"/>
        <v>3.75</v>
      </c>
      <c r="AB226" s="47">
        <f t="shared" si="66"/>
        <v>7.75</v>
      </c>
      <c r="AC226" s="47">
        <f t="shared" si="67"/>
        <v>4</v>
      </c>
      <c r="AD226" s="48">
        <f t="shared" si="68"/>
        <v>19.35483870967742</v>
      </c>
      <c r="AE226" s="46">
        <f t="shared" si="69"/>
        <v>84.47</v>
      </c>
      <c r="AF226" s="49">
        <f t="shared" si="70"/>
        <v>0</v>
      </c>
      <c r="AG226" s="49">
        <f t="shared" si="71"/>
        <v>0.4838709677419355</v>
      </c>
      <c r="AH226" s="71">
        <f t="shared" si="72"/>
        <v>0</v>
      </c>
    </row>
    <row r="227" spans="1:34" x14ac:dyDescent="0.25">
      <c r="A227" s="22">
        <v>28</v>
      </c>
      <c r="B227" s="29">
        <v>46210</v>
      </c>
      <c r="C227" s="1" t="s">
        <v>34</v>
      </c>
      <c r="D227" s="1">
        <v>5470</v>
      </c>
      <c r="E227" s="1" t="s">
        <v>35</v>
      </c>
      <c r="F227" s="31" t="s">
        <v>36</v>
      </c>
      <c r="G227" s="50">
        <v>6576.4</v>
      </c>
      <c r="H227" s="50">
        <v>4790.8999999999996</v>
      </c>
      <c r="I227" s="22">
        <v>60</v>
      </c>
      <c r="J227" s="22">
        <v>2</v>
      </c>
      <c r="K227" s="22" t="s">
        <v>62</v>
      </c>
      <c r="L227" s="22"/>
      <c r="M227" s="22"/>
      <c r="N227" s="19" cm="1">
        <f t="array" ref="N227">_xlfn.IFS(E227="MOLINOS CHAMPION S.F",42,E227="PROPALCOL",42,E227="MASTERTEC",42,E227="GANADERIA OVIA",42,E227="ENGORDE",40,E227="DESCARTES",40,E227="REPRODUCTORA",10,E227="BAJO PESO",40,E227="CHICKENCORP",42)</f>
        <v>42</v>
      </c>
      <c r="O227" s="41">
        <f t="shared" si="74"/>
        <v>0.72849887476430875</v>
      </c>
      <c r="P227" s="22">
        <f>IFERROR(G227/I227," ")</f>
        <v>109.60666666666665</v>
      </c>
      <c r="Q227" s="22">
        <f>IFERROR(H227/I227," ")</f>
        <v>79.848333333333329</v>
      </c>
      <c r="R227" s="22">
        <f>IF(I227=0,0,(I227-J227)/I227)</f>
        <v>0.96666666666666667</v>
      </c>
      <c r="S227" s="22">
        <v>24</v>
      </c>
      <c r="T227" s="23">
        <v>0.34027777777777779</v>
      </c>
      <c r="U227" s="23">
        <v>0.4236111111111111</v>
      </c>
      <c r="V227" s="22"/>
      <c r="W227" s="22"/>
      <c r="X227" s="22"/>
      <c r="Y227" s="22"/>
      <c r="Z227" s="22"/>
      <c r="AA227" s="46">
        <f t="shared" si="65"/>
        <v>1.4285714285714286</v>
      </c>
      <c r="AB227" s="47">
        <f t="shared" si="66"/>
        <v>2</v>
      </c>
      <c r="AC227" s="47">
        <f t="shared" si="67"/>
        <v>0.5714285714285714</v>
      </c>
      <c r="AD227" s="48">
        <f t="shared" si="68"/>
        <v>30</v>
      </c>
      <c r="AE227" s="46">
        <f t="shared" si="69"/>
        <v>99.81</v>
      </c>
      <c r="AF227" s="49">
        <f t="shared" si="70"/>
        <v>0.6</v>
      </c>
      <c r="AG227" s="49">
        <f t="shared" si="71"/>
        <v>0.7142857142857143</v>
      </c>
      <c r="AH227" s="71">
        <f t="shared" si="72"/>
        <v>0.41428571428571426</v>
      </c>
    </row>
    <row r="228" spans="1:34" x14ac:dyDescent="0.25">
      <c r="A228" s="22">
        <v>28</v>
      </c>
      <c r="B228" s="29">
        <v>46210</v>
      </c>
      <c r="C228" s="22" t="s">
        <v>34</v>
      </c>
      <c r="D228" s="22">
        <v>274</v>
      </c>
      <c r="E228" s="22" t="s">
        <v>37</v>
      </c>
      <c r="F228" s="22" t="s">
        <v>36</v>
      </c>
      <c r="G228" s="50">
        <v>22582.400000000001</v>
      </c>
      <c r="H228" s="50">
        <v>18259.900000000001</v>
      </c>
      <c r="I228" s="22">
        <v>240</v>
      </c>
      <c r="J228" s="22">
        <v>12</v>
      </c>
      <c r="K228" s="22" t="s">
        <v>62</v>
      </c>
      <c r="L228" s="22"/>
      <c r="M228" s="22"/>
      <c r="N228" s="19" cm="1">
        <f t="array" ref="N228">_xlfn.IFS(E228="MOLINOS CHAMPION S.F",42,E228="PROPALCOL",42,E228="MASTERTEC",42,E228="GANADERIA OVIA",42,E228="ENGORDE",40,E228="DESCARTES",40,E228="REPRODUCTORA",10,E228="BAJO PESO",40,E228="CHICKENCORP",42)</f>
        <v>40</v>
      </c>
      <c r="O228" s="41">
        <f t="shared" si="74"/>
        <v>0.80858987530111948</v>
      </c>
      <c r="P228" s="22">
        <f>IFERROR(G228/I228," ")</f>
        <v>94.093333333333334</v>
      </c>
      <c r="Q228" s="22">
        <f>IFERROR(H228/I228," ")</f>
        <v>76.082916666666677</v>
      </c>
      <c r="R228" s="22">
        <f>IF(I228=0,0,(I228-J228)/I228)</f>
        <v>0.95</v>
      </c>
      <c r="S228" s="22">
        <v>26</v>
      </c>
      <c r="T228" s="23">
        <v>0.40277777777777779</v>
      </c>
      <c r="U228" s="23">
        <v>0.75694444444444442</v>
      </c>
      <c r="V228" s="23">
        <v>0.58680555555555558</v>
      </c>
      <c r="W228" s="23">
        <v>0.63888888888888884</v>
      </c>
      <c r="X228" s="22" t="s">
        <v>55</v>
      </c>
      <c r="Y228" s="22"/>
      <c r="Z228" s="22">
        <v>1</v>
      </c>
      <c r="AA228" s="46">
        <f t="shared" si="65"/>
        <v>6</v>
      </c>
      <c r="AB228" s="47">
        <f t="shared" si="66"/>
        <v>7.5</v>
      </c>
      <c r="AC228" s="47">
        <f t="shared" si="67"/>
        <v>1.5</v>
      </c>
      <c r="AD228" s="48">
        <f t="shared" si="68"/>
        <v>32</v>
      </c>
      <c r="AE228" s="46">
        <f t="shared" si="69"/>
        <v>93.64</v>
      </c>
      <c r="AF228" s="49">
        <f t="shared" si="70"/>
        <v>0.75</v>
      </c>
      <c r="AG228" s="49">
        <f t="shared" si="71"/>
        <v>0.8</v>
      </c>
      <c r="AH228" s="71">
        <f t="shared" si="72"/>
        <v>0.56999999999999995</v>
      </c>
    </row>
    <row r="229" spans="1:34" x14ac:dyDescent="0.25">
      <c r="A229" s="22">
        <v>28</v>
      </c>
      <c r="B229" s="29">
        <v>46211</v>
      </c>
      <c r="C229" s="1" t="s">
        <v>34</v>
      </c>
      <c r="D229" s="1">
        <v>5470</v>
      </c>
      <c r="E229" s="1" t="s">
        <v>35</v>
      </c>
      <c r="F229" s="31" t="s">
        <v>36</v>
      </c>
      <c r="G229" s="50">
        <v>13064.65</v>
      </c>
      <c r="H229" s="50">
        <v>9781.2999999999993</v>
      </c>
      <c r="I229" s="22">
        <v>120</v>
      </c>
      <c r="J229" s="22">
        <v>3</v>
      </c>
      <c r="K229" s="22" t="s">
        <v>62</v>
      </c>
      <c r="L229" s="22"/>
      <c r="M229" s="22"/>
      <c r="N229" s="19" cm="1">
        <f t="array" ref="N229">_xlfn.IFS(E229="MOLINOS CHAMPION S.F",42,E229="PROPALCOL",42,E229="MASTERTEC",42,E229="GANADERIA OVIA",42,E229="ENGORDE",40,E229="DESCARTES",40,E229="REPRODUCTORA",10,E229="BAJO PESO",40,E229="CHICKENCORP",42)</f>
        <v>42</v>
      </c>
      <c r="O229" s="41">
        <f t="shared" ref="O229:O236" si="75">IFERROR(H229/G229," ")</f>
        <v>0.74868442706080907</v>
      </c>
      <c r="P229" s="22">
        <f t="shared" ref="P229:P237" si="76">IFERROR(G229/I229," ")</f>
        <v>108.87208333333334</v>
      </c>
      <c r="Q229" s="22">
        <f t="shared" ref="Q229:Q237" si="77">IFERROR(H229/I229," ")</f>
        <v>81.510833333333323</v>
      </c>
      <c r="R229" s="22">
        <f t="shared" ref="R229:R237" si="78">IF(I229=0,0,(I229-J229)/I229)</f>
        <v>0.97499999999999998</v>
      </c>
      <c r="S229" s="22">
        <v>24</v>
      </c>
      <c r="T229" s="23">
        <v>0.33333333333333331</v>
      </c>
      <c r="U229" s="23">
        <v>0.45833333333333331</v>
      </c>
      <c r="V229" s="22"/>
      <c r="W229" s="22"/>
      <c r="X229" s="22"/>
      <c r="Y229" s="22"/>
      <c r="Z229" s="22"/>
      <c r="AA229" s="46">
        <f t="shared" si="65"/>
        <v>2.8571428571428572</v>
      </c>
      <c r="AB229" s="47">
        <f t="shared" si="66"/>
        <v>3</v>
      </c>
      <c r="AC229" s="47">
        <f t="shared" si="67"/>
        <v>0.14285714285714279</v>
      </c>
      <c r="AD229" s="48">
        <f t="shared" si="68"/>
        <v>40</v>
      </c>
      <c r="AE229" s="46">
        <f t="shared" si="69"/>
        <v>135.85</v>
      </c>
      <c r="AF229" s="49">
        <f t="shared" si="70"/>
        <v>0.95000000000000007</v>
      </c>
      <c r="AG229" s="49">
        <f t="shared" si="71"/>
        <v>0.95238095238095233</v>
      </c>
      <c r="AH229" s="71">
        <f t="shared" si="72"/>
        <v>0.88214285714285712</v>
      </c>
    </row>
    <row r="230" spans="1:34" x14ac:dyDescent="0.25">
      <c r="A230" s="22">
        <v>28</v>
      </c>
      <c r="B230" s="29">
        <v>46211</v>
      </c>
      <c r="C230" s="22" t="s">
        <v>34</v>
      </c>
      <c r="D230" s="22">
        <v>274</v>
      </c>
      <c r="E230" s="22" t="s">
        <v>37</v>
      </c>
      <c r="F230" s="22" t="s">
        <v>36</v>
      </c>
      <c r="G230" s="50">
        <v>17284.150000000001</v>
      </c>
      <c r="H230" s="50">
        <v>13353.4</v>
      </c>
      <c r="I230" s="22">
        <v>160</v>
      </c>
      <c r="J230" s="22">
        <v>6</v>
      </c>
      <c r="K230" s="22" t="s">
        <v>62</v>
      </c>
      <c r="L230" s="22"/>
      <c r="M230" s="22"/>
      <c r="N230" s="19" cm="1">
        <f t="array" ref="N230">_xlfn.IFS(E230="MOLINOS CHAMPION S.F",42,E230="PROPALCOL",42,E230="MASTERTEC",42,E230="GANADERIA OVIA",42,E230="ENGORDE",40,E230="DESCARTES",40,E230="REPRODUCTORA",10,E230="BAJO PESO",40,E230="CHICKENCORP",42)</f>
        <v>40</v>
      </c>
      <c r="O230" s="41">
        <f t="shared" si="75"/>
        <v>0.77258065915882457</v>
      </c>
      <c r="P230" s="22">
        <f t="shared" si="76"/>
        <v>108.02593750000001</v>
      </c>
      <c r="Q230" s="22">
        <f t="shared" si="77"/>
        <v>83.458749999999995</v>
      </c>
      <c r="R230" s="22">
        <f t="shared" si="78"/>
        <v>0.96250000000000002</v>
      </c>
      <c r="S230" s="22">
        <v>24</v>
      </c>
      <c r="T230" s="23">
        <v>0.51041666666666663</v>
      </c>
      <c r="U230" s="23">
        <v>0.69791666666666663</v>
      </c>
      <c r="V230" s="23">
        <v>0.59027777777777779</v>
      </c>
      <c r="W230" s="23">
        <v>0.61319444444444449</v>
      </c>
      <c r="X230" s="22" t="s">
        <v>55</v>
      </c>
      <c r="Y230" s="22"/>
      <c r="Z230" s="22">
        <v>1</v>
      </c>
      <c r="AA230" s="46">
        <f t="shared" si="65"/>
        <v>4</v>
      </c>
      <c r="AB230" s="47">
        <f t="shared" si="66"/>
        <v>3.5</v>
      </c>
      <c r="AC230" s="47">
        <f t="shared" si="67"/>
        <v>0</v>
      </c>
      <c r="AD230" s="48">
        <f t="shared" si="68"/>
        <v>45.714285714285715</v>
      </c>
      <c r="AE230" s="46">
        <f t="shared" si="69"/>
        <v>158.97</v>
      </c>
      <c r="AF230" s="49">
        <f t="shared" si="70"/>
        <v>1</v>
      </c>
      <c r="AG230" s="49">
        <f t="shared" si="71"/>
        <v>1</v>
      </c>
      <c r="AH230" s="71">
        <f t="shared" si="72"/>
        <v>0.96250000000000002</v>
      </c>
    </row>
    <row r="231" spans="1:34" x14ac:dyDescent="0.25">
      <c r="A231" s="22">
        <v>28</v>
      </c>
      <c r="B231" s="29">
        <v>46212</v>
      </c>
      <c r="C231" s="1" t="s">
        <v>34</v>
      </c>
      <c r="D231" s="1">
        <v>5470</v>
      </c>
      <c r="E231" s="1" t="s">
        <v>35</v>
      </c>
      <c r="F231" s="31" t="s">
        <v>36</v>
      </c>
      <c r="G231" s="50">
        <v>6859.7</v>
      </c>
      <c r="H231" s="50">
        <v>5264.1</v>
      </c>
      <c r="I231" s="22">
        <v>60</v>
      </c>
      <c r="J231" s="22">
        <v>2</v>
      </c>
      <c r="K231" s="22" t="s">
        <v>62</v>
      </c>
      <c r="L231" s="22"/>
      <c r="M231" s="22"/>
      <c r="N231" s="19" cm="1">
        <f t="array" ref="N231">_xlfn.IFS(E231="MOLINOS CHAMPION S.F",42,E231="PROPALCOL",42,E231="MASTERTEC",42,E231="GANADERIA OVIA",42,E231="ENGORDE",40,E231="DESCARTES",40,E231="REPRODUCTORA",10,E231="BAJO PESO",40,E231="CHICKENCORP",42)</f>
        <v>42</v>
      </c>
      <c r="O231" s="41">
        <f t="shared" si="75"/>
        <v>0.76739507558639597</v>
      </c>
      <c r="P231" s="22">
        <f t="shared" si="76"/>
        <v>114.32833333333333</v>
      </c>
      <c r="Q231" s="22">
        <f t="shared" si="77"/>
        <v>87.734999999999999</v>
      </c>
      <c r="R231" s="22">
        <f t="shared" si="78"/>
        <v>0.96666666666666667</v>
      </c>
      <c r="S231" s="22">
        <v>30</v>
      </c>
      <c r="T231" s="23">
        <v>0.34375</v>
      </c>
      <c r="U231" s="23">
        <v>0.40972222222222221</v>
      </c>
      <c r="V231" s="22"/>
      <c r="W231" s="22"/>
      <c r="X231" s="22"/>
      <c r="Y231" s="22"/>
      <c r="Z231" s="22"/>
      <c r="AA231" s="46">
        <f t="shared" si="65"/>
        <v>1.4285714285714286</v>
      </c>
      <c r="AB231" s="47">
        <f t="shared" si="66"/>
        <v>1.5833333333333335</v>
      </c>
      <c r="AC231" s="47">
        <f t="shared" si="67"/>
        <v>0.15476190476190488</v>
      </c>
      <c r="AD231" s="48">
        <f t="shared" si="68"/>
        <v>37.89473684210526</v>
      </c>
      <c r="AE231" s="46">
        <f t="shared" si="69"/>
        <v>110.82</v>
      </c>
      <c r="AF231" s="49">
        <f t="shared" si="70"/>
        <v>0.89166666666666661</v>
      </c>
      <c r="AG231" s="49">
        <f t="shared" si="71"/>
        <v>0.90225563909774431</v>
      </c>
      <c r="AH231" s="71">
        <f t="shared" si="72"/>
        <v>0.77769423558897233</v>
      </c>
    </row>
    <row r="232" spans="1:34" x14ac:dyDescent="0.25">
      <c r="A232" s="22">
        <v>28</v>
      </c>
      <c r="B232" s="29">
        <v>46212</v>
      </c>
      <c r="C232" s="22" t="s">
        <v>34</v>
      </c>
      <c r="D232" s="22">
        <v>274</v>
      </c>
      <c r="E232" s="22" t="s">
        <v>37</v>
      </c>
      <c r="F232" s="22" t="s">
        <v>36</v>
      </c>
      <c r="G232" s="50">
        <v>22256.9</v>
      </c>
      <c r="H232" s="50">
        <v>18009.150000000001</v>
      </c>
      <c r="I232" s="22">
        <v>200</v>
      </c>
      <c r="J232" s="22">
        <v>0</v>
      </c>
      <c r="K232" s="22"/>
      <c r="L232" s="22"/>
      <c r="M232" s="22"/>
      <c r="N232" s="19" cm="1">
        <f t="array" ref="N232">_xlfn.IFS(E232="MOLINOS CHAMPION S.F",42,E232="PROPALCOL",42,E232="MASTERTEC",42,E232="GANADERIA OVIA",42,E232="ENGORDE",40,E232="DESCARTES",40,E232="REPRODUCTORA",10,E232="BAJO PESO",40,E232="CHICKENCORP",42)</f>
        <v>40</v>
      </c>
      <c r="O232" s="41">
        <f t="shared" si="75"/>
        <v>0.80914907287178361</v>
      </c>
      <c r="P232" s="22">
        <f t="shared" si="76"/>
        <v>111.28450000000001</v>
      </c>
      <c r="Q232" s="22">
        <f t="shared" si="77"/>
        <v>90.045750000000012</v>
      </c>
      <c r="R232" s="22">
        <f t="shared" si="78"/>
        <v>1</v>
      </c>
      <c r="S232" s="22">
        <v>30</v>
      </c>
      <c r="T232" s="23">
        <v>0.39930555555555558</v>
      </c>
      <c r="U232" s="23">
        <v>0.65625</v>
      </c>
      <c r="V232" s="22"/>
      <c r="W232" s="22"/>
      <c r="X232" s="22"/>
      <c r="Y232" s="22"/>
      <c r="Z232" s="22">
        <v>1</v>
      </c>
      <c r="AA232" s="46">
        <f t="shared" si="65"/>
        <v>5</v>
      </c>
      <c r="AB232" s="47">
        <f t="shared" si="66"/>
        <v>5.166666666666667</v>
      </c>
      <c r="AC232" s="47">
        <f t="shared" si="67"/>
        <v>0.16666666666666696</v>
      </c>
      <c r="AD232" s="48">
        <f t="shared" si="68"/>
        <v>38.70967741935484</v>
      </c>
      <c r="AE232" s="46">
        <f t="shared" si="69"/>
        <v>116.19</v>
      </c>
      <c r="AF232" s="49">
        <f t="shared" si="70"/>
        <v>0.96666666666666656</v>
      </c>
      <c r="AG232" s="49">
        <f t="shared" si="71"/>
        <v>0.967741935483871</v>
      </c>
      <c r="AH232" s="71">
        <f t="shared" si="72"/>
        <v>0.93548387096774188</v>
      </c>
    </row>
    <row r="233" spans="1:34" x14ac:dyDescent="0.25">
      <c r="A233" s="22">
        <v>28</v>
      </c>
      <c r="B233" s="29">
        <v>46214</v>
      </c>
      <c r="C233" s="1" t="s">
        <v>34</v>
      </c>
      <c r="D233" s="1">
        <v>274</v>
      </c>
      <c r="E233" s="1" t="s">
        <v>37</v>
      </c>
      <c r="F233" s="30" t="s">
        <v>36</v>
      </c>
      <c r="G233" s="50">
        <v>27884.350000000006</v>
      </c>
      <c r="H233" s="51">
        <v>22575.399999999994</v>
      </c>
      <c r="I233" s="22">
        <v>242</v>
      </c>
      <c r="J233" s="22">
        <v>5</v>
      </c>
      <c r="K233" s="22" t="s">
        <v>62</v>
      </c>
      <c r="L233" s="22"/>
      <c r="M233" s="22"/>
      <c r="N233" s="19" cm="1">
        <f t="array" ref="N233">_xlfn.IFS(E233="MOLINOS CHAMPION S.F",42,E233="PROPALCOL",42,E233="MASTERTEC",42,E233="GANADERIA OVIA",42,E233="ENGORDE",40,E233="DESCARTES",40,E233="REPRODUCTORA",10,E233="BAJO PESO",40,E233="CHICKENCORP",42)</f>
        <v>40</v>
      </c>
      <c r="O233" s="41">
        <f t="shared" si="75"/>
        <v>0.80960825696134175</v>
      </c>
      <c r="P233" s="22">
        <f t="shared" si="76"/>
        <v>115.22458677685952</v>
      </c>
      <c r="Q233" s="22">
        <f t="shared" si="77"/>
        <v>93.286776859504101</v>
      </c>
      <c r="R233" s="22">
        <f t="shared" si="78"/>
        <v>0.97933884297520657</v>
      </c>
      <c r="S233" s="22">
        <v>29</v>
      </c>
      <c r="T233" s="23">
        <v>0.25</v>
      </c>
      <c r="U233" s="23">
        <v>0.54027777777777775</v>
      </c>
      <c r="V233" s="22"/>
      <c r="W233" s="22"/>
      <c r="X233" s="22"/>
      <c r="Y233" s="22"/>
      <c r="Z233" s="22">
        <v>1</v>
      </c>
      <c r="AA233" s="46">
        <f t="shared" si="65"/>
        <v>6.05</v>
      </c>
      <c r="AB233" s="47">
        <f t="shared" si="66"/>
        <v>5.9666666666666668</v>
      </c>
      <c r="AC233" s="47">
        <f t="shared" si="67"/>
        <v>0</v>
      </c>
      <c r="AD233" s="48">
        <f t="shared" si="68"/>
        <v>40.558659217877093</v>
      </c>
      <c r="AE233" s="46">
        <f t="shared" si="69"/>
        <v>130.47</v>
      </c>
      <c r="AF233" s="49">
        <f t="shared" si="70"/>
        <v>1</v>
      </c>
      <c r="AG233" s="49">
        <f t="shared" si="71"/>
        <v>1</v>
      </c>
      <c r="AH233" s="71">
        <f t="shared" si="72"/>
        <v>0.97933884297520657</v>
      </c>
    </row>
    <row r="234" spans="1:34" x14ac:dyDescent="0.25">
      <c r="A234" s="22">
        <v>28</v>
      </c>
      <c r="B234" s="29">
        <v>46214</v>
      </c>
      <c r="C234" s="1" t="s">
        <v>38</v>
      </c>
      <c r="D234" s="31"/>
      <c r="E234" s="1" t="s">
        <v>39</v>
      </c>
      <c r="F234" s="30" t="s">
        <v>42</v>
      </c>
      <c r="G234" s="50">
        <v>3331.6</v>
      </c>
      <c r="H234" s="50">
        <v>2633.75</v>
      </c>
      <c r="I234" s="22">
        <v>17</v>
      </c>
      <c r="J234" s="22"/>
      <c r="K234" s="22"/>
      <c r="L234" s="22"/>
      <c r="M234" s="22"/>
      <c r="N234" s="19" cm="1">
        <f t="array" ref="N234">_xlfn.IFS(E234="MOLINOS CHAMPION S.F",42,E234="PROPALCOL",42,E234="MASTERTEC",42,E234="GANADERIA OVIA",42,E234="ENGORDE",40,E234="DESCARTES",40,E234="REPRODUCTORA",10,E234="BAJO PESO",40,E234="CHICKENCORP",42)</f>
        <v>10</v>
      </c>
      <c r="O234" s="41">
        <f t="shared" si="75"/>
        <v>0.79053607876095577</v>
      </c>
      <c r="P234" s="22">
        <f t="shared" si="76"/>
        <v>195.97647058823529</v>
      </c>
      <c r="Q234" s="22">
        <f t="shared" si="77"/>
        <v>154.9264705882353</v>
      </c>
      <c r="R234" s="22">
        <f t="shared" si="78"/>
        <v>1</v>
      </c>
      <c r="S234" s="22">
        <v>29</v>
      </c>
      <c r="T234" s="23">
        <v>0.57638888888888884</v>
      </c>
      <c r="U234" s="23">
        <v>0.66319444444444442</v>
      </c>
      <c r="V234" s="22"/>
      <c r="W234" s="22"/>
      <c r="X234" s="22"/>
      <c r="Y234" s="22"/>
      <c r="Z234" s="22"/>
      <c r="AA234" s="46">
        <f t="shared" si="65"/>
        <v>1.7</v>
      </c>
      <c r="AB234" s="47">
        <f t="shared" ref="AB234:AB237" si="79">(HOUR(U234-T234)+MINUTE(U234-T234)/60)-Z234-Y234</f>
        <v>2.0833333333333335</v>
      </c>
      <c r="AC234" s="47">
        <f t="shared" ref="AC234:AC237" si="80">IF(AB234&gt;AA234,AB234-AA234,0)</f>
        <v>0.38333333333333353</v>
      </c>
      <c r="AD234" s="48">
        <f t="shared" ref="AD234:AD237" si="81">I234/AB234</f>
        <v>8.16</v>
      </c>
      <c r="AE234" s="46">
        <f t="shared" ref="AE234:AE237" si="82">ROUND(H234/AB234/S234,2)</f>
        <v>43.59</v>
      </c>
      <c r="AF234" s="49">
        <f t="shared" ref="AF234:AF237" si="83">IF(AA234-AC234-Y234&lt;0,0,(AA234-AC234-Y234)/AA234)</f>
        <v>0.77450980392156854</v>
      </c>
      <c r="AG234" s="49">
        <f t="shared" ref="AG234:AG237" si="84">IFERROR(MIN(AD234/N234,1),0)</f>
        <v>0.81600000000000006</v>
      </c>
      <c r="AH234" s="71">
        <f t="shared" ref="AH234:AH237" si="85">R234*AF234*AG234</f>
        <v>0.63200000000000001</v>
      </c>
    </row>
    <row r="235" spans="1:34" x14ac:dyDescent="0.25">
      <c r="A235" s="22">
        <v>29</v>
      </c>
      <c r="B235" s="29">
        <v>46216</v>
      </c>
      <c r="C235" s="1" t="s">
        <v>34</v>
      </c>
      <c r="D235" s="1">
        <v>5470</v>
      </c>
      <c r="E235" s="1" t="s">
        <v>35</v>
      </c>
      <c r="F235" s="31" t="s">
        <v>36</v>
      </c>
      <c r="G235" s="50">
        <v>6303.4499999999989</v>
      </c>
      <c r="H235" s="50">
        <v>4709.4000000000005</v>
      </c>
      <c r="I235" s="22">
        <v>60</v>
      </c>
      <c r="J235" s="22">
        <v>3</v>
      </c>
      <c r="K235" s="22" t="s">
        <v>62</v>
      </c>
      <c r="L235" s="22"/>
      <c r="M235" s="22"/>
      <c r="N235" s="19" cm="1">
        <f t="array" ref="N235">_xlfn.IFS(E235="MOLINOS CHAMPION S.F",42,E235="PROPALCOL",42,E235="MASTERTEC",42,E235="GANADERIA OVIA",42,E235="ENGORDE",40,E235="DESCARTES",40,E235="REPRODUCTORA",10,E235="BAJO PESO",40,E235="CHICKENCORP",42)</f>
        <v>42</v>
      </c>
      <c r="O235" s="41">
        <f t="shared" si="75"/>
        <v>0.74711467529686149</v>
      </c>
      <c r="P235" s="22">
        <f t="shared" si="76"/>
        <v>105.05749999999998</v>
      </c>
      <c r="Q235" s="22">
        <f t="shared" si="77"/>
        <v>78.490000000000009</v>
      </c>
      <c r="R235" s="22">
        <f t="shared" si="78"/>
        <v>0.95</v>
      </c>
      <c r="S235" s="22">
        <v>25</v>
      </c>
      <c r="T235" s="23">
        <v>0.30555555555555558</v>
      </c>
      <c r="U235" s="23">
        <v>0.39583333333333331</v>
      </c>
      <c r="V235" s="22"/>
      <c r="W235" s="22"/>
      <c r="X235" s="22"/>
      <c r="Y235" s="22"/>
      <c r="Z235" s="22"/>
      <c r="AA235" s="46">
        <f t="shared" si="65"/>
        <v>1.4285714285714286</v>
      </c>
      <c r="AB235" s="47">
        <f t="shared" si="79"/>
        <v>2.1666666666666665</v>
      </c>
      <c r="AC235" s="47">
        <f t="shared" si="80"/>
        <v>0.73809523809523792</v>
      </c>
      <c r="AD235" s="48">
        <f t="shared" si="81"/>
        <v>27.692307692307693</v>
      </c>
      <c r="AE235" s="46">
        <f t="shared" si="82"/>
        <v>86.94</v>
      </c>
      <c r="AF235" s="49">
        <f t="shared" si="83"/>
        <v>0.48333333333333345</v>
      </c>
      <c r="AG235" s="49">
        <f t="shared" si="84"/>
        <v>0.65934065934065933</v>
      </c>
      <c r="AH235" s="71">
        <f t="shared" si="85"/>
        <v>0.30274725274725284</v>
      </c>
    </row>
    <row r="236" spans="1:34" x14ac:dyDescent="0.25">
      <c r="A236" s="22">
        <v>29</v>
      </c>
      <c r="B236" s="29">
        <v>46216</v>
      </c>
      <c r="C236" s="22" t="s">
        <v>34</v>
      </c>
      <c r="D236" s="22">
        <v>274</v>
      </c>
      <c r="E236" s="22" t="s">
        <v>37</v>
      </c>
      <c r="F236" s="22" t="s">
        <v>36</v>
      </c>
      <c r="G236" s="50">
        <v>17597.600000000002</v>
      </c>
      <c r="H236" s="50">
        <v>14478.70000000001</v>
      </c>
      <c r="I236" s="22">
        <v>151</v>
      </c>
      <c r="J236" s="22">
        <v>4</v>
      </c>
      <c r="K236" s="22" t="s">
        <v>62</v>
      </c>
      <c r="L236" s="22"/>
      <c r="M236" s="22"/>
      <c r="N236" s="19" cm="1">
        <f t="array" ref="N236">_xlfn.IFS(E236="MOLINOS CHAMPION S.F",42,E236="PROPALCOL",42,E236="MASTERTEC",42,E236="GANADERIA OVIA",42,E236="ENGORDE",40,E236="DESCARTES",40,E236="REPRODUCTORA",10,E236="BAJO PESO",40,E236="CHICKENCORP",42)</f>
        <v>40</v>
      </c>
      <c r="O236" s="41">
        <f t="shared" si="75"/>
        <v>0.82276560440060054</v>
      </c>
      <c r="P236" s="22">
        <f t="shared" si="76"/>
        <v>116.54039735099339</v>
      </c>
      <c r="Q236" s="22">
        <f t="shared" si="77"/>
        <v>95.885430463576228</v>
      </c>
      <c r="R236" s="22">
        <f t="shared" si="78"/>
        <v>0.97350993377483441</v>
      </c>
      <c r="S236" s="22">
        <v>25</v>
      </c>
      <c r="T236" s="23">
        <v>0.37847222222222221</v>
      </c>
      <c r="U236" s="23">
        <v>0.69444444444444442</v>
      </c>
      <c r="V236" s="23">
        <v>0.58333333333333337</v>
      </c>
      <c r="W236" s="23">
        <v>0.60763888888888884</v>
      </c>
      <c r="X236" s="22" t="s">
        <v>53</v>
      </c>
      <c r="Y236" s="22"/>
      <c r="Z236" s="22">
        <v>1</v>
      </c>
      <c r="AA236" s="46">
        <f t="shared" si="65"/>
        <v>3.7749999999999999</v>
      </c>
      <c r="AB236" s="47">
        <f t="shared" si="79"/>
        <v>6.583333333333333</v>
      </c>
      <c r="AC236" s="47">
        <f t="shared" si="80"/>
        <v>2.8083333333333331</v>
      </c>
      <c r="AD236" s="48">
        <f t="shared" si="81"/>
        <v>22.936708860759495</v>
      </c>
      <c r="AE236" s="46">
        <f t="shared" si="82"/>
        <v>87.97</v>
      </c>
      <c r="AF236" s="49">
        <f t="shared" si="83"/>
        <v>0.25607064017660047</v>
      </c>
      <c r="AG236" s="49">
        <f t="shared" si="84"/>
        <v>0.5734177215189874</v>
      </c>
      <c r="AH236" s="71">
        <f t="shared" si="85"/>
        <v>0.14294576242769724</v>
      </c>
    </row>
    <row r="237" spans="1:34" x14ac:dyDescent="0.25">
      <c r="A237" s="22">
        <v>29</v>
      </c>
      <c r="B237" s="29">
        <v>46217</v>
      </c>
      <c r="C237" s="1" t="s">
        <v>34</v>
      </c>
      <c r="D237" s="1">
        <v>5470</v>
      </c>
      <c r="E237" s="1" t="s">
        <v>35</v>
      </c>
      <c r="F237" s="31" t="s">
        <v>36</v>
      </c>
      <c r="G237" s="50">
        <v>6788.7999999999993</v>
      </c>
      <c r="H237" s="50">
        <v>5027.0000000000009</v>
      </c>
      <c r="I237" s="22">
        <v>60</v>
      </c>
      <c r="J237" s="22">
        <v>3</v>
      </c>
      <c r="K237" s="22" t="s">
        <v>62</v>
      </c>
      <c r="L237" s="22"/>
      <c r="M237" s="22"/>
      <c r="N237" s="19" cm="1">
        <f t="array" ref="N237">_xlfn.IFS(E237="MOLINOS CHAMPION S.F",42,E237="PROPALCOL",42,E237="MASTERTEC",42,E237="GANADERIA OVIA",42,E237="ENGORDE",40,E237="DESCARTES",40,E237="REPRODUCTORA",10,E237="BAJO PESO",40,E237="CHICKENCORP",42)</f>
        <v>42</v>
      </c>
      <c r="O237" s="41">
        <f t="shared" ref="O237:O247" si="86">IFERROR(H237/G237," ")</f>
        <v>0.74048432712703294</v>
      </c>
      <c r="P237" s="22">
        <f t="shared" si="76"/>
        <v>113.14666666666666</v>
      </c>
      <c r="Q237" s="22">
        <f t="shared" si="77"/>
        <v>83.783333333333346</v>
      </c>
      <c r="R237" s="22">
        <f t="shared" si="78"/>
        <v>0.95</v>
      </c>
      <c r="S237" s="22">
        <v>25</v>
      </c>
      <c r="T237" s="23">
        <v>0.29166666666666669</v>
      </c>
      <c r="U237" s="23">
        <v>0.375</v>
      </c>
      <c r="V237" s="22"/>
      <c r="W237" s="22"/>
      <c r="X237" s="22"/>
      <c r="Y237" s="22"/>
      <c r="Z237" s="22"/>
      <c r="AA237" s="46">
        <f t="shared" ref="AA237" si="87">I237/N237</f>
        <v>1.4285714285714286</v>
      </c>
      <c r="AB237" s="47">
        <f t="shared" si="79"/>
        <v>2</v>
      </c>
      <c r="AC237" s="47">
        <f t="shared" si="80"/>
        <v>0.5714285714285714</v>
      </c>
      <c r="AD237" s="48">
        <f t="shared" si="81"/>
        <v>30</v>
      </c>
      <c r="AE237" s="46">
        <f t="shared" si="82"/>
        <v>100.54</v>
      </c>
      <c r="AF237" s="49">
        <f t="shared" si="83"/>
        <v>0.6</v>
      </c>
      <c r="AG237" s="49">
        <f t="shared" si="84"/>
        <v>0.7142857142857143</v>
      </c>
      <c r="AH237" s="71">
        <f t="shared" si="85"/>
        <v>0.40714285714285714</v>
      </c>
    </row>
    <row r="238" spans="1:34" x14ac:dyDescent="0.25">
      <c r="A238" s="22">
        <v>29</v>
      </c>
      <c r="B238" s="29">
        <v>46217</v>
      </c>
      <c r="C238" s="22" t="s">
        <v>34</v>
      </c>
      <c r="D238" s="22">
        <v>274</v>
      </c>
      <c r="E238" s="22" t="s">
        <v>37</v>
      </c>
      <c r="F238" s="22" t="s">
        <v>36</v>
      </c>
      <c r="G238" s="50" t="s">
        <v>63</v>
      </c>
      <c r="H238" s="50" t="s">
        <v>64</v>
      </c>
      <c r="I238" s="22">
        <v>205</v>
      </c>
      <c r="J238" s="22">
        <v>4</v>
      </c>
      <c r="K238" s="22" t="s">
        <v>62</v>
      </c>
      <c r="L238" s="22"/>
      <c r="M238" s="22"/>
      <c r="N238" s="19" cm="1">
        <f t="array" ref="N238">_xlfn.IFS(E238="MOLINOS CHAMPION S.F",42,E238="PROPALCOL",42,E238="MASTERTEC",42,E238="GANADERIA OVIA",42,E238="ENGORDE",40,E238="DESCARTES",40,E238="REPRODUCTORA",10,E238="BAJO PESO",40,E238="CHICKENCORP",42)</f>
        <v>40</v>
      </c>
      <c r="O238" s="41">
        <f t="shared" si="86"/>
        <v>0.81407469606475535</v>
      </c>
      <c r="P238" s="22">
        <f t="shared" ref="P238:P247" si="88">IFERROR(G238/I238," ")</f>
        <v>108.05414634146341</v>
      </c>
      <c r="Q238" s="22">
        <f t="shared" ref="Q238:Q247" si="89">IFERROR(H238/I238," ")</f>
        <v>87.964146341463419</v>
      </c>
      <c r="R238" s="22">
        <f t="shared" ref="R238:R247" si="90">IF(I238=0,0,(I238-J238)/I238)</f>
        <v>0.98048780487804876</v>
      </c>
      <c r="S238" s="22">
        <v>24</v>
      </c>
      <c r="T238" s="23">
        <v>0.35069444444444442</v>
      </c>
      <c r="U238" s="23">
        <v>0.63541666666666663</v>
      </c>
      <c r="V238" s="22"/>
      <c r="W238" s="22"/>
      <c r="X238" s="22"/>
      <c r="Y238" s="22"/>
      <c r="Z238" s="22">
        <v>1</v>
      </c>
      <c r="AA238" s="46">
        <f t="shared" ref="AA238:AA301" si="91">I238/N238</f>
        <v>5.125</v>
      </c>
      <c r="AB238" s="47">
        <f t="shared" ref="AB238:AB301" si="92">(HOUR(U238-T238)+MINUTE(U238-T238)/60)-Z238-Y238</f>
        <v>5.833333333333333</v>
      </c>
      <c r="AC238" s="47">
        <f t="shared" ref="AC238:AC301" si="93">IF(AB238&gt;AA238,AB238-AA238,0)</f>
        <v>0.70833333333333304</v>
      </c>
      <c r="AD238" s="48">
        <f t="shared" ref="AD238:AD301" si="94">I238/AB238</f>
        <v>35.142857142857146</v>
      </c>
      <c r="AE238" s="46">
        <f t="shared" ref="AE238:AE301" si="95">ROUND(H238/AB238/S238,2)</f>
        <v>128.80000000000001</v>
      </c>
      <c r="AF238" s="49">
        <f t="shared" ref="AF238:AF301" si="96">IF(AA238-AC238-Y238&lt;0,0,(AA238-AC238-Y238)/AA238)</f>
        <v>0.86178861788617889</v>
      </c>
      <c r="AG238" s="49">
        <f t="shared" ref="AG238:AG301" si="97">IFERROR(MIN(AD238/N238,1),0)</f>
        <v>0.87857142857142867</v>
      </c>
      <c r="AH238" s="71">
        <f t="shared" ref="AH238:AH301" si="98">R238*AF238*AG238</f>
        <v>0.7423693379790941</v>
      </c>
    </row>
    <row r="239" spans="1:34" x14ac:dyDescent="0.25">
      <c r="A239" s="22">
        <v>29</v>
      </c>
      <c r="B239" s="29">
        <v>46218</v>
      </c>
      <c r="C239" s="1" t="s">
        <v>34</v>
      </c>
      <c r="D239" s="1">
        <v>5470</v>
      </c>
      <c r="E239" s="1" t="s">
        <v>35</v>
      </c>
      <c r="F239" s="31" t="s">
        <v>36</v>
      </c>
      <c r="G239" s="50" t="s">
        <v>65</v>
      </c>
      <c r="H239" s="50" t="s">
        <v>66</v>
      </c>
      <c r="I239" s="22">
        <v>120</v>
      </c>
      <c r="J239" s="22">
        <v>3</v>
      </c>
      <c r="K239" s="22" t="s">
        <v>62</v>
      </c>
      <c r="L239" s="22"/>
      <c r="M239" s="22"/>
      <c r="N239" s="19" cm="1">
        <f t="array" ref="N239">_xlfn.IFS(E239="MOLINOS CHAMPION S.F",42,E239="PROPALCOL",42,E239="MASTERTEC",42,E239="GANADERIA OVIA",42,E239="ENGORDE",40,E239="DESCARTES",40,E239="REPRODUCTORA",10,E239="BAJO PESO",40,E239="CHICKENCORP",42)</f>
        <v>42</v>
      </c>
      <c r="O239" s="41">
        <f t="shared" si="86"/>
        <v>0.76054619407321333</v>
      </c>
      <c r="P239" s="22">
        <f t="shared" si="88"/>
        <v>114.73333333333333</v>
      </c>
      <c r="Q239" s="22">
        <f t="shared" si="89"/>
        <v>87.26</v>
      </c>
      <c r="R239" s="22">
        <f t="shared" si="90"/>
        <v>0.97499999999999998</v>
      </c>
      <c r="S239" s="22"/>
      <c r="T239" s="23"/>
      <c r="U239" s="23"/>
      <c r="V239" s="22"/>
      <c r="W239" s="22"/>
      <c r="X239" s="22"/>
      <c r="Y239" s="22"/>
      <c r="Z239" s="22"/>
      <c r="AA239" s="46">
        <f t="shared" si="91"/>
        <v>2.8571428571428572</v>
      </c>
      <c r="AB239" s="47">
        <f t="shared" si="92"/>
        <v>0</v>
      </c>
      <c r="AC239" s="47">
        <f t="shared" si="93"/>
        <v>0</v>
      </c>
      <c r="AD239" s="48" t="e">
        <f t="shared" si="94"/>
        <v>#DIV/0!</v>
      </c>
      <c r="AE239" s="46" t="e">
        <f t="shared" si="95"/>
        <v>#DIV/0!</v>
      </c>
      <c r="AF239" s="49">
        <f t="shared" si="96"/>
        <v>1</v>
      </c>
      <c r="AG239" s="49">
        <f t="shared" si="97"/>
        <v>0</v>
      </c>
      <c r="AH239" s="71">
        <f t="shared" si="98"/>
        <v>0</v>
      </c>
    </row>
    <row r="240" spans="1:34" x14ac:dyDescent="0.25">
      <c r="A240" s="22">
        <v>29</v>
      </c>
      <c r="B240" s="29">
        <v>46218</v>
      </c>
      <c r="C240" s="22" t="s">
        <v>34</v>
      </c>
      <c r="D240" s="22">
        <v>274</v>
      </c>
      <c r="E240" s="22" t="s">
        <v>37</v>
      </c>
      <c r="F240" s="22" t="s">
        <v>36</v>
      </c>
      <c r="G240" s="50" t="s">
        <v>67</v>
      </c>
      <c r="H240" s="50" t="s">
        <v>68</v>
      </c>
      <c r="I240" s="22">
        <v>180</v>
      </c>
      <c r="J240" s="22">
        <v>6</v>
      </c>
      <c r="K240" s="22" t="s">
        <v>62</v>
      </c>
      <c r="L240" s="22"/>
      <c r="M240" s="22"/>
      <c r="N240" s="19" cm="1">
        <f t="array" ref="N240">_xlfn.IFS(E240="MOLINOS CHAMPION S.F",42,E240="PROPALCOL",42,E240="MASTERTEC",42,E240="GANADERIA OVIA",42,E240="ENGORDE",40,E240="DESCARTES",40,E240="REPRODUCTORA",10,E240="BAJO PESO",40,E240="CHICKENCORP",42)</f>
        <v>40</v>
      </c>
      <c r="O240" s="41">
        <f t="shared" si="86"/>
        <v>0.8170542169278745</v>
      </c>
      <c r="P240" s="22">
        <f t="shared" si="88"/>
        <v>110.81</v>
      </c>
      <c r="Q240" s="22">
        <f t="shared" si="89"/>
        <v>90.537777777777777</v>
      </c>
      <c r="R240" s="22">
        <f t="shared" si="90"/>
        <v>0.96666666666666667</v>
      </c>
      <c r="S240" s="22"/>
      <c r="T240" s="23"/>
      <c r="U240" s="23"/>
      <c r="V240" s="23">
        <v>0.65625</v>
      </c>
      <c r="W240" s="23">
        <v>0.69027777777777777</v>
      </c>
      <c r="X240" s="22" t="s">
        <v>55</v>
      </c>
      <c r="Y240" s="22"/>
      <c r="Z240" s="22">
        <v>1</v>
      </c>
      <c r="AA240" s="46">
        <f t="shared" si="91"/>
        <v>4.5</v>
      </c>
      <c r="AB240" s="47">
        <f t="shared" si="92"/>
        <v>-1</v>
      </c>
      <c r="AC240" s="47">
        <f t="shared" si="93"/>
        <v>0</v>
      </c>
      <c r="AD240" s="48">
        <f t="shared" si="94"/>
        <v>-180</v>
      </c>
      <c r="AE240" s="46" t="e">
        <f t="shared" si="95"/>
        <v>#DIV/0!</v>
      </c>
      <c r="AF240" s="49">
        <f t="shared" si="96"/>
        <v>1</v>
      </c>
      <c r="AG240" s="49">
        <f t="shared" si="97"/>
        <v>-4.5</v>
      </c>
      <c r="AH240" s="71">
        <f t="shared" si="98"/>
        <v>-4.3499999999999996</v>
      </c>
    </row>
    <row r="241" spans="1:34" x14ac:dyDescent="0.25">
      <c r="A241" s="22">
        <v>29</v>
      </c>
      <c r="B241" s="29">
        <v>46219</v>
      </c>
      <c r="C241" s="22" t="s">
        <v>34</v>
      </c>
      <c r="D241" s="22">
        <v>274</v>
      </c>
      <c r="E241" s="22" t="s">
        <v>37</v>
      </c>
      <c r="F241" s="22" t="s">
        <v>36</v>
      </c>
      <c r="G241" s="50" t="s">
        <v>69</v>
      </c>
      <c r="H241" s="50" t="s">
        <v>70</v>
      </c>
      <c r="I241" s="22">
        <v>216</v>
      </c>
      <c r="J241" s="22">
        <v>7</v>
      </c>
      <c r="K241" s="22" t="s">
        <v>62</v>
      </c>
      <c r="L241" s="22"/>
      <c r="M241" s="22"/>
      <c r="N241" s="19" cm="1">
        <f t="array" ref="N241">_xlfn.IFS(E241="MOLINOS CHAMPION S.F",42,E241="PROPALCOL",42,E241="MASTERTEC",42,E241="GANADERIA OVIA",42,E241="ENGORDE",40,E241="DESCARTES",40,E241="REPRODUCTORA",10,E241="BAJO PESO",40,E241="CHICKENCORP",42)</f>
        <v>40</v>
      </c>
      <c r="O241" s="41">
        <f t="shared" si="86"/>
        <v>0.81460967194400868</v>
      </c>
      <c r="P241" s="22">
        <f t="shared" si="88"/>
        <v>108.28379629629629</v>
      </c>
      <c r="Q241" s="22">
        <f t="shared" si="89"/>
        <v>88.209027777777791</v>
      </c>
      <c r="R241" s="22">
        <f t="shared" si="90"/>
        <v>0.96759259259259256</v>
      </c>
      <c r="S241" s="22">
        <v>26</v>
      </c>
      <c r="T241" s="23">
        <v>0.29166666666666669</v>
      </c>
      <c r="U241" s="23">
        <v>0.58333333333333337</v>
      </c>
      <c r="V241" s="22"/>
      <c r="W241" s="22"/>
      <c r="X241" s="22"/>
      <c r="Y241" s="22"/>
      <c r="Z241" s="22">
        <v>1</v>
      </c>
      <c r="AA241" s="46">
        <f t="shared" si="91"/>
        <v>5.4</v>
      </c>
      <c r="AB241" s="47">
        <f t="shared" si="92"/>
        <v>6</v>
      </c>
      <c r="AC241" s="47">
        <f t="shared" si="93"/>
        <v>0.59999999999999964</v>
      </c>
      <c r="AD241" s="48">
        <f t="shared" si="94"/>
        <v>36</v>
      </c>
      <c r="AE241" s="46">
        <f t="shared" si="95"/>
        <v>122.14</v>
      </c>
      <c r="AF241" s="49">
        <f t="shared" si="96"/>
        <v>0.88888888888888895</v>
      </c>
      <c r="AG241" s="49">
        <f t="shared" si="97"/>
        <v>0.9</v>
      </c>
      <c r="AH241" s="71">
        <f t="shared" si="98"/>
        <v>0.77407407407407414</v>
      </c>
    </row>
    <row r="242" spans="1:34" x14ac:dyDescent="0.25">
      <c r="A242" s="22">
        <v>29</v>
      </c>
      <c r="B242" s="29">
        <v>46221</v>
      </c>
      <c r="C242" s="22" t="s">
        <v>34</v>
      </c>
      <c r="D242" s="22">
        <v>274</v>
      </c>
      <c r="E242" s="22" t="s">
        <v>37</v>
      </c>
      <c r="F242" s="22" t="s">
        <v>36</v>
      </c>
      <c r="G242" s="50" t="s">
        <v>71</v>
      </c>
      <c r="H242" s="50" t="s">
        <v>72</v>
      </c>
      <c r="I242" s="22">
        <v>242</v>
      </c>
      <c r="J242" s="22">
        <v>6</v>
      </c>
      <c r="K242" s="22" t="s">
        <v>62</v>
      </c>
      <c r="L242" s="22"/>
      <c r="M242" s="22"/>
      <c r="N242" s="19" cm="1">
        <f t="array" ref="N242">_xlfn.IFS(E242="MOLINOS CHAMPION S.F",42,E242="PROPALCOL",42,E242="MASTERTEC",42,E242="GANADERIA OVIA",42,E242="ENGORDE",40,E242="DESCARTES",40,E242="REPRODUCTORA",10,E242="BAJO PESO",40,E242="CHICKENCORP",42)</f>
        <v>40</v>
      </c>
      <c r="O242" s="41">
        <f t="shared" si="86"/>
        <v>0.80297448162907559</v>
      </c>
      <c r="P242" s="22">
        <f t="shared" si="88"/>
        <v>111.26322314049587</v>
      </c>
      <c r="Q242" s="22">
        <f t="shared" si="89"/>
        <v>89.341528925619841</v>
      </c>
      <c r="R242" s="22">
        <f t="shared" si="90"/>
        <v>0.97520661157024791</v>
      </c>
      <c r="S242" s="22">
        <v>21</v>
      </c>
      <c r="T242" s="23">
        <v>0.27083333333333331</v>
      </c>
      <c r="U242" s="23">
        <v>0.66527777777777775</v>
      </c>
      <c r="V242" s="22"/>
      <c r="W242" s="22"/>
      <c r="X242" s="22"/>
      <c r="Y242" s="22"/>
      <c r="Z242" s="22"/>
      <c r="AA242" s="46">
        <f t="shared" si="91"/>
        <v>6.05</v>
      </c>
      <c r="AB242" s="47">
        <f t="shared" si="92"/>
        <v>9.4666666666666668</v>
      </c>
      <c r="AC242" s="47">
        <f t="shared" si="93"/>
        <v>3.416666666666667</v>
      </c>
      <c r="AD242" s="48">
        <f t="shared" si="94"/>
        <v>25.56338028169014</v>
      </c>
      <c r="AE242" s="46">
        <f t="shared" si="95"/>
        <v>108.76</v>
      </c>
      <c r="AF242" s="49">
        <f t="shared" si="96"/>
        <v>0.43526170798898067</v>
      </c>
      <c r="AG242" s="49">
        <f t="shared" si="97"/>
        <v>0.6390845070422535</v>
      </c>
      <c r="AH242" s="71">
        <f t="shared" si="98"/>
        <v>0.27127226166918866</v>
      </c>
    </row>
    <row r="243" spans="1:34" x14ac:dyDescent="0.25">
      <c r="A243" s="22">
        <v>29</v>
      </c>
      <c r="B243" s="29">
        <v>46221</v>
      </c>
      <c r="C243" s="1" t="s">
        <v>38</v>
      </c>
      <c r="D243" s="31"/>
      <c r="E243" s="1" t="s">
        <v>39</v>
      </c>
      <c r="F243" s="30" t="s">
        <v>42</v>
      </c>
      <c r="G243" s="50" t="s">
        <v>73</v>
      </c>
      <c r="H243" s="50" t="s">
        <v>74</v>
      </c>
      <c r="I243" s="22">
        <v>13</v>
      </c>
      <c r="J243" s="22"/>
      <c r="K243" s="22"/>
      <c r="L243" s="22"/>
      <c r="M243" s="22"/>
      <c r="N243" s="19" cm="1">
        <f t="array" ref="N243">_xlfn.IFS(E243="MOLINOS CHAMPION S.F",42,E243="PROPALCOL",42,E243="MASTERTEC",42,E243="GANADERIA OVIA",42,E243="ENGORDE",40,E243="DESCARTES",40,E243="REPRODUCTORA",10,E243="BAJO PESO",40,E243="CHICKENCORP",42)</f>
        <v>10</v>
      </c>
      <c r="O243" s="41">
        <f t="shared" si="86"/>
        <v>0.75800892798529507</v>
      </c>
      <c r="P243" s="22">
        <f t="shared" si="88"/>
        <v>234.35384615384615</v>
      </c>
      <c r="Q243" s="22">
        <f t="shared" si="89"/>
        <v>177.6423076923077</v>
      </c>
      <c r="R243" s="22">
        <f t="shared" si="90"/>
        <v>1</v>
      </c>
      <c r="S243" s="22">
        <v>21</v>
      </c>
      <c r="T243" s="23">
        <v>0.63958333333333328</v>
      </c>
      <c r="U243" s="23">
        <v>0.72916666666666663</v>
      </c>
      <c r="V243" s="22"/>
      <c r="W243" s="22"/>
      <c r="X243" s="22"/>
      <c r="Y243" s="22"/>
      <c r="Z243" s="22"/>
      <c r="AA243" s="46">
        <f t="shared" si="91"/>
        <v>1.3</v>
      </c>
      <c r="AB243" s="47">
        <f t="shared" si="92"/>
        <v>2.15</v>
      </c>
      <c r="AC243" s="47">
        <f t="shared" si="93"/>
        <v>0.84999999999999987</v>
      </c>
      <c r="AD243" s="48">
        <f t="shared" si="94"/>
        <v>6.0465116279069768</v>
      </c>
      <c r="AE243" s="46">
        <f t="shared" si="95"/>
        <v>51.15</v>
      </c>
      <c r="AF243" s="49">
        <f t="shared" si="96"/>
        <v>0.34615384615384626</v>
      </c>
      <c r="AG243" s="49">
        <f t="shared" si="97"/>
        <v>0.60465116279069764</v>
      </c>
      <c r="AH243" s="71">
        <f t="shared" si="98"/>
        <v>0.20930232558139539</v>
      </c>
    </row>
    <row r="244" spans="1:34" x14ac:dyDescent="0.25">
      <c r="A244" s="22">
        <v>30</v>
      </c>
      <c r="B244" s="29">
        <v>46223</v>
      </c>
      <c r="C244" s="1" t="s">
        <v>34</v>
      </c>
      <c r="D244" s="1">
        <v>5470</v>
      </c>
      <c r="E244" s="1" t="s">
        <v>35</v>
      </c>
      <c r="F244" s="31" t="s">
        <v>36</v>
      </c>
      <c r="G244" s="50" t="s">
        <v>75</v>
      </c>
      <c r="H244" s="50" t="s">
        <v>76</v>
      </c>
      <c r="I244" s="22">
        <v>120</v>
      </c>
      <c r="J244" s="22">
        <v>6</v>
      </c>
      <c r="K244" s="22" t="s">
        <v>62</v>
      </c>
      <c r="L244" s="22"/>
      <c r="M244" s="22"/>
      <c r="N244" s="19" cm="1">
        <f t="array" ref="N244">_xlfn.IFS(E244="MOLINOS CHAMPION S.F",42,E244="PROPALCOL",42,E244="MASTERTEC",42,E244="GANADERIA OVIA",42,E244="ENGORDE",40,E244="DESCARTES",40,E244="REPRODUCTORA",10,E244="BAJO PESO",40,E244="CHICKENCORP",42)</f>
        <v>42</v>
      </c>
      <c r="O244" s="41">
        <f t="shared" si="86"/>
        <v>0.74079001715701842</v>
      </c>
      <c r="P244" s="22">
        <f t="shared" si="88"/>
        <v>104.91333333333334</v>
      </c>
      <c r="Q244" s="22">
        <f t="shared" si="89"/>
        <v>77.71875</v>
      </c>
      <c r="R244" s="22">
        <f t="shared" si="90"/>
        <v>0.95</v>
      </c>
      <c r="S244" s="22">
        <v>21</v>
      </c>
      <c r="T244" s="23">
        <v>0.33333333333333331</v>
      </c>
      <c r="U244" s="23">
        <v>0.52430555555555558</v>
      </c>
      <c r="V244" s="22"/>
      <c r="W244" s="22"/>
      <c r="X244" s="22"/>
      <c r="Y244" s="22"/>
      <c r="Z244" s="22"/>
      <c r="AA244" s="46">
        <f t="shared" si="91"/>
        <v>2.8571428571428572</v>
      </c>
      <c r="AB244" s="47">
        <f t="shared" si="92"/>
        <v>4.583333333333333</v>
      </c>
      <c r="AC244" s="47">
        <f t="shared" si="93"/>
        <v>1.7261904761904758</v>
      </c>
      <c r="AD244" s="48">
        <f t="shared" si="94"/>
        <v>26.181818181818183</v>
      </c>
      <c r="AE244" s="46">
        <f t="shared" si="95"/>
        <v>96.9</v>
      </c>
      <c r="AF244" s="49">
        <f t="shared" si="96"/>
        <v>0.39583333333333348</v>
      </c>
      <c r="AG244" s="49">
        <f t="shared" si="97"/>
        <v>0.62337662337662336</v>
      </c>
      <c r="AH244" s="71">
        <f t="shared" si="98"/>
        <v>0.23441558441558447</v>
      </c>
    </row>
    <row r="245" spans="1:34" x14ac:dyDescent="0.25">
      <c r="A245" s="22">
        <v>30</v>
      </c>
      <c r="B245" s="56">
        <v>46223</v>
      </c>
      <c r="C245" s="22" t="s">
        <v>34</v>
      </c>
      <c r="D245" s="22">
        <v>274</v>
      </c>
      <c r="E245" s="22" t="s">
        <v>37</v>
      </c>
      <c r="F245" s="22" t="s">
        <v>36</v>
      </c>
      <c r="G245" s="50" t="s">
        <v>77</v>
      </c>
      <c r="H245" s="50" t="s">
        <v>78</v>
      </c>
      <c r="I245" s="22">
        <v>180</v>
      </c>
      <c r="J245" s="22">
        <v>7</v>
      </c>
      <c r="K245" s="22" t="s">
        <v>62</v>
      </c>
      <c r="L245" s="22"/>
      <c r="M245" s="22"/>
      <c r="N245" s="19" cm="1">
        <f t="array" ref="N245">_xlfn.IFS(E245="MOLINOS CHAMPION S.F",42,E245="PROPALCOL",42,E245="MASTERTEC",42,E245="GANADERIA OVIA",42,E245="ENGORDE",40,E245="DESCARTES",40,E245="REPRODUCTORA",10,E245="BAJO PESO",40,E245="CHICKENCORP",42)</f>
        <v>40</v>
      </c>
      <c r="O245" s="41">
        <f t="shared" si="86"/>
        <v>0.80223076941465021</v>
      </c>
      <c r="P245" s="22">
        <f t="shared" si="88"/>
        <v>116.20305555555555</v>
      </c>
      <c r="Q245" s="22">
        <f t="shared" si="89"/>
        <v>93.221666666666678</v>
      </c>
      <c r="R245" s="22">
        <f t="shared" si="90"/>
        <v>0.96111111111111114</v>
      </c>
      <c r="S245" s="22">
        <v>21</v>
      </c>
      <c r="T245" s="23">
        <v>0.55208333333333337</v>
      </c>
      <c r="U245" s="23">
        <v>0.85416666666666663</v>
      </c>
      <c r="V245" s="22"/>
      <c r="W245" s="22"/>
      <c r="X245" s="22"/>
      <c r="Y245" s="22"/>
      <c r="Z245" s="22">
        <v>1</v>
      </c>
      <c r="AA245" s="46">
        <f t="shared" si="91"/>
        <v>4.5</v>
      </c>
      <c r="AB245" s="47">
        <f t="shared" si="92"/>
        <v>6.25</v>
      </c>
      <c r="AC245" s="47">
        <f t="shared" si="93"/>
        <v>1.75</v>
      </c>
      <c r="AD245" s="48">
        <f t="shared" si="94"/>
        <v>28.8</v>
      </c>
      <c r="AE245" s="46">
        <f t="shared" si="95"/>
        <v>127.85</v>
      </c>
      <c r="AF245" s="49">
        <f t="shared" si="96"/>
        <v>0.61111111111111116</v>
      </c>
      <c r="AG245" s="49">
        <f t="shared" si="97"/>
        <v>0.72</v>
      </c>
      <c r="AH245" s="71">
        <f t="shared" si="98"/>
        <v>0.42288888888888887</v>
      </c>
    </row>
    <row r="246" spans="1:34" x14ac:dyDescent="0.25">
      <c r="A246" s="52">
        <v>30</v>
      </c>
      <c r="B246" s="53">
        <v>46224</v>
      </c>
      <c r="C246" s="1" t="s">
        <v>34</v>
      </c>
      <c r="D246" s="1">
        <v>5470</v>
      </c>
      <c r="E246" s="1" t="s">
        <v>35</v>
      </c>
      <c r="F246" s="31" t="s">
        <v>36</v>
      </c>
      <c r="G246" s="55" t="s">
        <v>79</v>
      </c>
      <c r="H246" s="55" t="s">
        <v>80</v>
      </c>
      <c r="I246" s="52">
        <v>60</v>
      </c>
      <c r="J246" s="52">
        <v>1</v>
      </c>
      <c r="K246" s="42" t="s">
        <v>62</v>
      </c>
      <c r="L246" s="52"/>
      <c r="M246" s="52"/>
      <c r="N246" s="19" cm="1">
        <f t="array" ref="N246">_xlfn.IFS(E246="MOLINOS CHAMPION S.F",42,E246="PROPALCOL",42,E246="MASTERTEC",42,E246="GANADERIA OVIA",42,E246="ENGORDE",40,E246="DESCARTES",40,E246="REPRODUCTORA",10,E246="BAJO PESO",40,E246="CHICKENCORP",42)</f>
        <v>42</v>
      </c>
      <c r="O246" s="41">
        <f t="shared" si="86"/>
        <v>0.74985548807495095</v>
      </c>
      <c r="P246" s="22">
        <f t="shared" si="88"/>
        <v>111.00583333333334</v>
      </c>
      <c r="Q246" s="22">
        <f t="shared" si="89"/>
        <v>83.23833333333333</v>
      </c>
      <c r="R246" s="22">
        <f t="shared" si="90"/>
        <v>0.98333333333333328</v>
      </c>
      <c r="S246" s="42">
        <v>21</v>
      </c>
      <c r="T246" s="54">
        <v>0.34375</v>
      </c>
      <c r="U246" s="54">
        <v>0.42916666666666664</v>
      </c>
      <c r="V246" s="52"/>
      <c r="W246" s="52"/>
      <c r="X246" s="52"/>
      <c r="Y246" s="52"/>
      <c r="Z246" s="52"/>
      <c r="AA246" s="46">
        <f t="shared" si="91"/>
        <v>1.4285714285714286</v>
      </c>
      <c r="AB246" s="47">
        <f t="shared" si="92"/>
        <v>2.0499999999999998</v>
      </c>
      <c r="AC246" s="47">
        <f t="shared" si="93"/>
        <v>0.62142857142857122</v>
      </c>
      <c r="AD246" s="48">
        <f t="shared" si="94"/>
        <v>29.26829268292683</v>
      </c>
      <c r="AE246" s="46">
        <f t="shared" si="95"/>
        <v>116.01</v>
      </c>
      <c r="AF246" s="49">
        <f t="shared" si="96"/>
        <v>0.56500000000000017</v>
      </c>
      <c r="AG246" s="49">
        <f t="shared" si="97"/>
        <v>0.69686411149825789</v>
      </c>
      <c r="AH246" s="71">
        <f t="shared" si="98"/>
        <v>0.38716608594657387</v>
      </c>
    </row>
    <row r="247" spans="1:34" x14ac:dyDescent="0.25">
      <c r="A247" s="57">
        <v>30</v>
      </c>
      <c r="B247" s="58">
        <v>46224</v>
      </c>
      <c r="C247" s="42" t="s">
        <v>34</v>
      </c>
      <c r="D247" s="42">
        <v>274</v>
      </c>
      <c r="E247" s="42" t="s">
        <v>37</v>
      </c>
      <c r="F247" s="42" t="s">
        <v>36</v>
      </c>
      <c r="G247" s="60" t="s">
        <v>81</v>
      </c>
      <c r="H247" s="60" t="s">
        <v>82</v>
      </c>
      <c r="I247" s="57">
        <v>120</v>
      </c>
      <c r="J247" s="57">
        <v>5</v>
      </c>
      <c r="K247" s="42" t="s">
        <v>62</v>
      </c>
      <c r="L247" s="57"/>
      <c r="M247" s="57"/>
      <c r="N247" s="19" cm="1">
        <f t="array" ref="N247">_xlfn.IFS(E247="MOLINOS CHAMPION S.F",42,E247="PROPALCOL",42,E247="MASTERTEC",42,E247="GANADERIA OVIA",42,E247="ENGORDE",40,E247="DESCARTES",40,E247="REPRODUCTORA",10,E247="BAJO PESO",40,E247="CHICKENCORP",42)</f>
        <v>40</v>
      </c>
      <c r="O247" s="41">
        <f t="shared" si="86"/>
        <v>0.81520462466667443</v>
      </c>
      <c r="P247" s="42">
        <f t="shared" si="88"/>
        <v>108.90875</v>
      </c>
      <c r="Q247" s="42">
        <f t="shared" si="89"/>
        <v>88.782916666666679</v>
      </c>
      <c r="R247" s="42">
        <f t="shared" si="90"/>
        <v>0.95833333333333337</v>
      </c>
      <c r="S247" s="42">
        <v>21</v>
      </c>
      <c r="T247" s="59">
        <v>0.5625</v>
      </c>
      <c r="U247" s="59">
        <v>0.67708333333333337</v>
      </c>
      <c r="V247" s="57"/>
      <c r="W247" s="57"/>
      <c r="X247" s="57"/>
      <c r="Y247" s="57"/>
      <c r="Z247" s="57">
        <v>1</v>
      </c>
      <c r="AA247" s="46">
        <f t="shared" si="91"/>
        <v>3</v>
      </c>
      <c r="AB247" s="47">
        <f t="shared" si="92"/>
        <v>1.75</v>
      </c>
      <c r="AC247" s="47">
        <f t="shared" si="93"/>
        <v>0</v>
      </c>
      <c r="AD247" s="48">
        <f t="shared" si="94"/>
        <v>68.571428571428569</v>
      </c>
      <c r="AE247" s="46">
        <f t="shared" si="95"/>
        <v>289.89999999999998</v>
      </c>
      <c r="AF247" s="49">
        <f t="shared" si="96"/>
        <v>1</v>
      </c>
      <c r="AG247" s="49">
        <f t="shared" si="97"/>
        <v>1</v>
      </c>
      <c r="AH247" s="71">
        <f t="shared" si="98"/>
        <v>0.95833333333333337</v>
      </c>
    </row>
    <row r="248" spans="1:34" x14ac:dyDescent="0.25">
      <c r="A248" s="52">
        <v>30</v>
      </c>
      <c r="B248" s="53">
        <v>46225</v>
      </c>
      <c r="C248" s="68" t="s">
        <v>34</v>
      </c>
      <c r="D248" s="68">
        <v>5470</v>
      </c>
      <c r="E248" s="68" t="s">
        <v>35</v>
      </c>
      <c r="F248" s="30" t="s">
        <v>36</v>
      </c>
      <c r="G248" s="55">
        <v>6446.9000000000005</v>
      </c>
      <c r="H248" s="55">
        <v>4939.75</v>
      </c>
      <c r="I248" s="52">
        <v>60</v>
      </c>
      <c r="J248" s="52">
        <v>2</v>
      </c>
      <c r="K248" s="42" t="s">
        <v>62</v>
      </c>
      <c r="L248" s="52"/>
      <c r="M248" s="52"/>
      <c r="N248" s="19" cm="1">
        <f t="array" ref="N248">_xlfn.IFS(E248="MOLINOS CHAMPION S.F",42,E248="PROPALCOL",42,E248="MASTERTEC",42,E248="GANADERIA OVIA",42,E248="ENGORDE",40,E248="DESCARTES",40,E248="REPRODUCTORA",10,E248="BAJO PESO",40,E248="CHICKENCORP",42)</f>
        <v>42</v>
      </c>
      <c r="O248" s="41">
        <f t="shared" ref="O248:O309" si="99">IFERROR(H248/G248," ")</f>
        <v>0.76622097442181503</v>
      </c>
      <c r="P248" s="42">
        <f t="shared" ref="P248:P310" si="100">IFERROR(G248/I248," ")</f>
        <v>107.44833333333334</v>
      </c>
      <c r="Q248" s="42">
        <f t="shared" ref="Q248:Q310" si="101">IFERROR(H248/I248," ")</f>
        <v>82.329166666666666</v>
      </c>
      <c r="R248" s="42">
        <f t="shared" ref="R248:R310" si="102">IF(I248=0,0,(I248-J248)/I248)</f>
        <v>0.96666666666666667</v>
      </c>
      <c r="S248" s="52">
        <v>28</v>
      </c>
      <c r="T248" s="54">
        <v>0.34375</v>
      </c>
      <c r="U248" s="54">
        <v>0.43055555555555558</v>
      </c>
      <c r="V248" s="52"/>
      <c r="W248" s="52"/>
      <c r="X248" s="52"/>
      <c r="Y248" s="52"/>
      <c r="Z248" s="52"/>
      <c r="AA248" s="46">
        <f t="shared" si="91"/>
        <v>1.4285714285714286</v>
      </c>
      <c r="AB248" s="47">
        <f t="shared" si="92"/>
        <v>2.0833333333333335</v>
      </c>
      <c r="AC248" s="47">
        <f t="shared" si="93"/>
        <v>0.65476190476190488</v>
      </c>
      <c r="AD248" s="48">
        <f t="shared" si="94"/>
        <v>28.799999999999997</v>
      </c>
      <c r="AE248" s="46">
        <f t="shared" si="95"/>
        <v>84.68</v>
      </c>
      <c r="AF248" s="49">
        <f t="shared" si="96"/>
        <v>0.54166666666666663</v>
      </c>
      <c r="AG248" s="49">
        <f t="shared" si="97"/>
        <v>0.68571428571428561</v>
      </c>
      <c r="AH248" s="71">
        <f t="shared" si="98"/>
        <v>0.35904761904761895</v>
      </c>
    </row>
    <row r="249" spans="1:34" x14ac:dyDescent="0.25">
      <c r="A249" s="52">
        <v>30</v>
      </c>
      <c r="B249" s="53">
        <v>46225</v>
      </c>
      <c r="C249" s="52" t="s">
        <v>34</v>
      </c>
      <c r="D249" s="52">
        <v>274</v>
      </c>
      <c r="E249" s="52" t="s">
        <v>37</v>
      </c>
      <c r="F249" s="52" t="s">
        <v>36</v>
      </c>
      <c r="G249" s="55">
        <v>6944.5000000000027</v>
      </c>
      <c r="H249" s="55">
        <v>5578.75</v>
      </c>
      <c r="I249" s="52">
        <v>70</v>
      </c>
      <c r="J249" s="52">
        <v>1</v>
      </c>
      <c r="K249" s="42" t="s">
        <v>62</v>
      </c>
      <c r="L249" s="52"/>
      <c r="M249" s="52"/>
      <c r="N249" s="19" cm="1">
        <f t="array" ref="N249">_xlfn.IFS(E249="MOLINOS CHAMPION S.F",42,E249="PROPALCOL",42,E249="MASTERTEC",42,E249="GANADERIA OVIA",42,E249="ENGORDE",40,E249="DESCARTES",40,E249="REPRODUCTORA",10,E249="BAJO PESO",40,E249="CHICKENCORP",42)</f>
        <v>40</v>
      </c>
      <c r="O249" s="41">
        <f t="shared" si="99"/>
        <v>0.80333357333141309</v>
      </c>
      <c r="P249" s="42">
        <f t="shared" si="100"/>
        <v>99.207142857142898</v>
      </c>
      <c r="Q249" s="42">
        <f t="shared" si="101"/>
        <v>79.696428571428569</v>
      </c>
      <c r="R249" s="42">
        <f t="shared" si="102"/>
        <v>0.98571428571428577</v>
      </c>
      <c r="S249" s="52">
        <v>28</v>
      </c>
      <c r="T249" s="54">
        <v>0.59722222222222221</v>
      </c>
      <c r="U249" s="54">
        <v>0.6875</v>
      </c>
      <c r="V249" s="52"/>
      <c r="W249" s="52"/>
      <c r="X249" s="52"/>
      <c r="Y249" s="52"/>
      <c r="Z249" s="52"/>
      <c r="AA249" s="46">
        <f t="shared" si="91"/>
        <v>1.75</v>
      </c>
      <c r="AB249" s="47">
        <f t="shared" si="92"/>
        <v>2.1666666666666665</v>
      </c>
      <c r="AC249" s="47">
        <f t="shared" si="93"/>
        <v>0.41666666666666652</v>
      </c>
      <c r="AD249" s="48">
        <f t="shared" si="94"/>
        <v>32.307692307692307</v>
      </c>
      <c r="AE249" s="46">
        <f t="shared" si="95"/>
        <v>91.96</v>
      </c>
      <c r="AF249" s="49">
        <f t="shared" si="96"/>
        <v>0.76190476190476197</v>
      </c>
      <c r="AG249" s="49">
        <f t="shared" si="97"/>
        <v>0.80769230769230771</v>
      </c>
      <c r="AH249" s="71">
        <f t="shared" si="98"/>
        <v>0.60659340659340666</v>
      </c>
    </row>
    <row r="250" spans="1:34" x14ac:dyDescent="0.25">
      <c r="A250" s="52">
        <v>30</v>
      </c>
      <c r="B250" s="53">
        <v>46225</v>
      </c>
      <c r="C250" s="52" t="s">
        <v>34</v>
      </c>
      <c r="D250" s="52">
        <v>274</v>
      </c>
      <c r="E250" s="52" t="s">
        <v>37</v>
      </c>
      <c r="F250" s="52" t="s">
        <v>36</v>
      </c>
      <c r="G250" s="52">
        <v>19463.650000000001</v>
      </c>
      <c r="H250" s="52">
        <v>15866.849999999988</v>
      </c>
      <c r="I250" s="52">
        <v>178</v>
      </c>
      <c r="J250" s="52">
        <v>5</v>
      </c>
      <c r="K250" s="42" t="s">
        <v>62</v>
      </c>
      <c r="L250" s="52"/>
      <c r="M250" s="52"/>
      <c r="N250" s="19" cm="1">
        <f t="array" ref="N250">_xlfn.IFS(E250="MOLINOS CHAMPION S.F",42,E250="PROPALCOL",42,E250="MASTERTEC",42,E250="GANADERIA OVIA",42,E250="ENGORDE",40,E250="DESCARTES",40,E250="REPRODUCTORA",10,E250="BAJO PESO",40,E250="CHICKENCORP",42)</f>
        <v>40</v>
      </c>
      <c r="O250" s="41">
        <f t="shared" si="99"/>
        <v>0.81520423969810318</v>
      </c>
      <c r="P250" s="42">
        <f t="shared" si="100"/>
        <v>109.34634831460674</v>
      </c>
      <c r="Q250" s="42">
        <f t="shared" si="101"/>
        <v>89.139606741572962</v>
      </c>
      <c r="R250" s="42">
        <f t="shared" si="102"/>
        <v>0.9719101123595506</v>
      </c>
      <c r="S250" s="52">
        <v>28</v>
      </c>
      <c r="T250" s="54">
        <v>0.45833333333333331</v>
      </c>
      <c r="U250" s="54">
        <v>0.71875</v>
      </c>
      <c r="V250" s="52"/>
      <c r="W250" s="52"/>
      <c r="X250" s="52"/>
      <c r="Y250" s="52"/>
      <c r="Z250" s="52">
        <v>1</v>
      </c>
      <c r="AA250" s="46">
        <f t="shared" si="91"/>
        <v>4.45</v>
      </c>
      <c r="AB250" s="47">
        <f t="shared" si="92"/>
        <v>5.25</v>
      </c>
      <c r="AC250" s="47">
        <f t="shared" si="93"/>
        <v>0.79999999999999982</v>
      </c>
      <c r="AD250" s="48">
        <f t="shared" si="94"/>
        <v>33.904761904761905</v>
      </c>
      <c r="AE250" s="46">
        <f t="shared" si="95"/>
        <v>107.94</v>
      </c>
      <c r="AF250" s="49">
        <f t="shared" si="96"/>
        <v>0.8202247191011236</v>
      </c>
      <c r="AG250" s="49">
        <f t="shared" si="97"/>
        <v>0.84761904761904761</v>
      </c>
      <c r="AH250" s="71">
        <f t="shared" si="98"/>
        <v>0.67570893525949705</v>
      </c>
    </row>
    <row r="251" spans="1:34" x14ac:dyDescent="0.25">
      <c r="A251" s="52">
        <v>30</v>
      </c>
      <c r="B251" s="53">
        <v>46226</v>
      </c>
      <c r="C251" s="52" t="s">
        <v>34</v>
      </c>
      <c r="D251" s="52">
        <v>274</v>
      </c>
      <c r="E251" s="52" t="s">
        <v>37</v>
      </c>
      <c r="F251" s="52" t="s">
        <v>36</v>
      </c>
      <c r="G251" s="52">
        <v>26370.400000000009</v>
      </c>
      <c r="H251" s="52">
        <v>21442.150000000016</v>
      </c>
      <c r="I251" s="52">
        <v>251</v>
      </c>
      <c r="J251" s="52">
        <v>2</v>
      </c>
      <c r="K251" s="42" t="s">
        <v>62</v>
      </c>
      <c r="L251" s="52"/>
      <c r="M251" s="52"/>
      <c r="N251" s="19" cm="1">
        <f t="array" ref="N251">_xlfn.IFS(E251="MOLINOS CHAMPION S.F",42,E251="PROPALCOL",42,E251="MASTERTEC",42,E251="GANADERIA OVIA",42,E251="ENGORDE",40,E251="DESCARTES",40,E251="REPRODUCTORA",10,E251="BAJO PESO",40,E251="CHICKENCORP",42)</f>
        <v>40</v>
      </c>
      <c r="O251" s="41">
        <f t="shared" si="99"/>
        <v>0.81311432515244397</v>
      </c>
      <c r="P251" s="42">
        <f t="shared" si="100"/>
        <v>105.06135458167334</v>
      </c>
      <c r="Q251" s="42">
        <f t="shared" si="101"/>
        <v>85.426892430278954</v>
      </c>
      <c r="R251" s="42">
        <f t="shared" si="102"/>
        <v>0.99203187250996017</v>
      </c>
      <c r="S251" s="42">
        <v>21</v>
      </c>
      <c r="T251" s="54">
        <v>0.33333333333333331</v>
      </c>
      <c r="U251" s="54">
        <v>0.75277777777777777</v>
      </c>
      <c r="V251" s="52"/>
      <c r="W251" s="52"/>
      <c r="X251" s="52"/>
      <c r="Y251" s="52"/>
      <c r="Z251" s="52">
        <v>1</v>
      </c>
      <c r="AA251" s="46">
        <f t="shared" si="91"/>
        <v>6.2750000000000004</v>
      </c>
      <c r="AB251" s="47">
        <f t="shared" si="92"/>
        <v>9.0666666666666664</v>
      </c>
      <c r="AC251" s="47">
        <f t="shared" si="93"/>
        <v>2.7916666666666661</v>
      </c>
      <c r="AD251" s="48">
        <f t="shared" si="94"/>
        <v>27.683823529411764</v>
      </c>
      <c r="AE251" s="46">
        <f t="shared" si="95"/>
        <v>112.62</v>
      </c>
      <c r="AF251" s="49">
        <f t="shared" si="96"/>
        <v>0.55511288180610907</v>
      </c>
      <c r="AG251" s="49">
        <f t="shared" si="97"/>
        <v>0.69209558823529416</v>
      </c>
      <c r="AH251" s="71">
        <f t="shared" si="98"/>
        <v>0.38112989219592236</v>
      </c>
    </row>
    <row r="252" spans="1:34" x14ac:dyDescent="0.25">
      <c r="A252" s="52">
        <v>30</v>
      </c>
      <c r="B252" s="53">
        <v>46227</v>
      </c>
      <c r="C252" s="22" t="s">
        <v>34</v>
      </c>
      <c r="D252" s="22">
        <v>274</v>
      </c>
      <c r="E252" s="22" t="s">
        <v>37</v>
      </c>
      <c r="F252" s="22" t="s">
        <v>36</v>
      </c>
      <c r="G252" s="52">
        <v>26421.3</v>
      </c>
      <c r="H252" s="52">
        <v>21167.45</v>
      </c>
      <c r="I252" s="52">
        <v>247</v>
      </c>
      <c r="J252" s="52">
        <v>5</v>
      </c>
      <c r="K252" s="42" t="s">
        <v>62</v>
      </c>
      <c r="L252" s="52"/>
      <c r="M252" s="52"/>
      <c r="N252" s="19" cm="1">
        <f t="array" ref="N252">_xlfn.IFS(E252="MOLINOS CHAMPION S.F",42,E252="PROPALCOL",42,E252="MASTERTEC",42,E252="GANADERIA OVIA",42,E252="ENGORDE",40,E252="DESCARTES",40,E252="REPRODUCTORA",10,E252="BAJO PESO",40,E252="CHICKENCORP",42)</f>
        <v>40</v>
      </c>
      <c r="O252" s="41">
        <f t="shared" si="99"/>
        <v>0.80115096531964747</v>
      </c>
      <c r="P252" s="42">
        <f t="shared" si="100"/>
        <v>106.96882591093117</v>
      </c>
      <c r="Q252" s="42">
        <f t="shared" si="101"/>
        <v>85.698178137651823</v>
      </c>
      <c r="R252" s="42">
        <f t="shared" si="102"/>
        <v>0.97975708502024295</v>
      </c>
      <c r="S252" s="52"/>
      <c r="T252" s="54">
        <v>0.33680555555555558</v>
      </c>
      <c r="U252" s="54">
        <v>0.68125000000000002</v>
      </c>
      <c r="V252" s="52"/>
      <c r="W252" s="52"/>
      <c r="X252" s="52"/>
      <c r="Y252" s="52"/>
      <c r="Z252" s="52">
        <v>1</v>
      </c>
      <c r="AA252" s="46">
        <f t="shared" si="91"/>
        <v>6.1749999999999998</v>
      </c>
      <c r="AB252" s="47">
        <f t="shared" si="92"/>
        <v>7.2666666666666675</v>
      </c>
      <c r="AC252" s="47">
        <f t="shared" si="93"/>
        <v>1.0916666666666677</v>
      </c>
      <c r="AD252" s="48">
        <f t="shared" si="94"/>
        <v>33.990825688073393</v>
      </c>
      <c r="AE252" s="46" t="e">
        <f t="shared" si="95"/>
        <v>#DIV/0!</v>
      </c>
      <c r="AF252" s="49">
        <f t="shared" si="96"/>
        <v>0.82321187584345468</v>
      </c>
      <c r="AG252" s="49">
        <f t="shared" si="97"/>
        <v>0.84977064220183485</v>
      </c>
      <c r="AH252" s="71">
        <f t="shared" si="98"/>
        <v>0.68538052965865603</v>
      </c>
    </row>
    <row r="253" spans="1:34" x14ac:dyDescent="0.25">
      <c r="A253" s="52">
        <v>30</v>
      </c>
      <c r="B253" s="58">
        <v>46227</v>
      </c>
      <c r="C253" s="17" t="s">
        <v>38</v>
      </c>
      <c r="D253" s="69"/>
      <c r="E253" s="17" t="s">
        <v>39</v>
      </c>
      <c r="F253" s="40" t="s">
        <v>42</v>
      </c>
      <c r="G253" s="52">
        <v>3357.65</v>
      </c>
      <c r="H253" s="52">
        <v>2678.9</v>
      </c>
      <c r="I253" s="52">
        <v>16</v>
      </c>
      <c r="J253" s="52">
        <v>7</v>
      </c>
      <c r="K253" s="42" t="s">
        <v>62</v>
      </c>
      <c r="L253" s="52"/>
      <c r="M253" s="52"/>
      <c r="N253" s="19" cm="1">
        <f t="array" ref="N253">_xlfn.IFS(E253="MOLINOS CHAMPION S.F",42,E253="PROPALCOL",42,E253="MASTERTEC",42,E253="GANADERIA OVIA",42,E253="ENGORDE",40,E253="DESCARTES",40,E253="REPRODUCTORA",10,E253="BAJO PESO",40,E253="CHICKENCORP",42)</f>
        <v>10</v>
      </c>
      <c r="O253" s="41">
        <f t="shared" si="99"/>
        <v>0.79784968653671462</v>
      </c>
      <c r="P253" s="42">
        <f t="shared" si="100"/>
        <v>209.85312500000001</v>
      </c>
      <c r="Q253" s="42">
        <f t="shared" si="101"/>
        <v>167.43125000000001</v>
      </c>
      <c r="R253" s="42">
        <f t="shared" si="102"/>
        <v>0.5625</v>
      </c>
      <c r="S253" s="52"/>
      <c r="T253" s="54">
        <v>0.66666666666666663</v>
      </c>
      <c r="U253" s="54">
        <v>0.73263888888888884</v>
      </c>
      <c r="V253" s="52"/>
      <c r="W253" s="52"/>
      <c r="X253" s="52"/>
      <c r="Y253" s="52"/>
      <c r="Z253" s="52"/>
      <c r="AA253" s="46">
        <f t="shared" si="91"/>
        <v>1.6</v>
      </c>
      <c r="AB253" s="47">
        <f t="shared" si="92"/>
        <v>1.5833333333333335</v>
      </c>
      <c r="AC253" s="47">
        <f t="shared" si="93"/>
        <v>0</v>
      </c>
      <c r="AD253" s="48">
        <f t="shared" si="94"/>
        <v>10.105263157894736</v>
      </c>
      <c r="AE253" s="46" t="e">
        <f t="shared" si="95"/>
        <v>#DIV/0!</v>
      </c>
      <c r="AF253" s="49">
        <f t="shared" si="96"/>
        <v>1</v>
      </c>
      <c r="AG253" s="49">
        <f t="shared" si="97"/>
        <v>1</v>
      </c>
      <c r="AH253" s="71">
        <f t="shared" si="98"/>
        <v>0.5625</v>
      </c>
    </row>
    <row r="254" spans="1:34" x14ac:dyDescent="0.25">
      <c r="A254" s="61">
        <v>31</v>
      </c>
      <c r="B254" s="24">
        <v>46230</v>
      </c>
      <c r="C254" s="1" t="s">
        <v>34</v>
      </c>
      <c r="D254" s="1">
        <v>5470</v>
      </c>
      <c r="E254" s="1" t="s">
        <v>35</v>
      </c>
      <c r="F254" s="31" t="s">
        <v>36</v>
      </c>
      <c r="G254" s="62">
        <v>6547.0500000000011</v>
      </c>
      <c r="H254" s="52">
        <v>4883.3499999999985</v>
      </c>
      <c r="I254" s="52">
        <v>60</v>
      </c>
      <c r="J254" s="52">
        <v>3</v>
      </c>
      <c r="K254" s="42" t="s">
        <v>62</v>
      </c>
      <c r="L254" s="52"/>
      <c r="M254" s="52"/>
      <c r="N254" s="19" cm="1">
        <f t="array" ref="N254">_xlfn.IFS(E254="MOLINOS CHAMPION S.F",42,E254="PROPALCOL",42,E254="MASTERTEC",42,E254="GANADERIA OVIA",42,E254="ENGORDE",40,E254="DESCARTES",40,E254="REPRODUCTORA",10,E254="BAJO PESO",40,E254="CHICKENCORP",42)</f>
        <v>42</v>
      </c>
      <c r="O254" s="41">
        <f t="shared" si="99"/>
        <v>0.74588555150793068</v>
      </c>
      <c r="P254" s="42">
        <f t="shared" si="100"/>
        <v>109.11750000000002</v>
      </c>
      <c r="Q254" s="42">
        <f t="shared" si="101"/>
        <v>81.38916666666664</v>
      </c>
      <c r="R254" s="42">
        <f t="shared" si="102"/>
        <v>0.95</v>
      </c>
      <c r="S254" s="52">
        <v>20</v>
      </c>
      <c r="T254" s="54">
        <v>0.34027777777777779</v>
      </c>
      <c r="U254" s="54">
        <v>0.43611111111111112</v>
      </c>
      <c r="V254" s="52"/>
      <c r="W254" s="52"/>
      <c r="X254" s="52"/>
      <c r="Y254" s="52"/>
      <c r="Z254" s="52"/>
      <c r="AA254" s="46">
        <f t="shared" si="91"/>
        <v>1.4285714285714286</v>
      </c>
      <c r="AB254" s="47">
        <f t="shared" si="92"/>
        <v>2.2999999999999998</v>
      </c>
      <c r="AC254" s="47">
        <f t="shared" si="93"/>
        <v>0.87142857142857122</v>
      </c>
      <c r="AD254" s="48">
        <f t="shared" si="94"/>
        <v>26.086956521739133</v>
      </c>
      <c r="AE254" s="46">
        <f t="shared" si="95"/>
        <v>106.16</v>
      </c>
      <c r="AF254" s="49">
        <f t="shared" si="96"/>
        <v>0.39000000000000018</v>
      </c>
      <c r="AG254" s="49">
        <f t="shared" si="97"/>
        <v>0.62111801242236031</v>
      </c>
      <c r="AH254" s="71">
        <f t="shared" si="98"/>
        <v>0.23012422360248461</v>
      </c>
    </row>
    <row r="255" spans="1:34" x14ac:dyDescent="0.25">
      <c r="A255" s="61">
        <v>31</v>
      </c>
      <c r="B255" s="24">
        <v>46230</v>
      </c>
      <c r="C255" s="22" t="s">
        <v>34</v>
      </c>
      <c r="D255" s="22">
        <v>274</v>
      </c>
      <c r="E255" s="22" t="s">
        <v>37</v>
      </c>
      <c r="F255" s="22" t="s">
        <v>36</v>
      </c>
      <c r="G255" s="62">
        <v>12078.899999999998</v>
      </c>
      <c r="H255" s="52">
        <v>9695.6499999999978</v>
      </c>
      <c r="I255" s="52">
        <v>120</v>
      </c>
      <c r="J255" s="52">
        <v>5</v>
      </c>
      <c r="K255" s="42" t="s">
        <v>62</v>
      </c>
      <c r="L255" s="52"/>
      <c r="M255" s="52"/>
      <c r="N255" s="19" cm="1">
        <f t="array" ref="N255">_xlfn.IFS(E255="MOLINOS CHAMPION S.F",42,E255="PROPALCOL",42,E255="MASTERTEC",42,E255="GANADERIA OVIA",42,E255="ENGORDE",40,E255="DESCARTES",40,E255="REPRODUCTORA",10,E255="BAJO PESO",40,E255="CHICKENCORP",42)</f>
        <v>40</v>
      </c>
      <c r="O255" s="41">
        <f t="shared" si="99"/>
        <v>0.80269312602968812</v>
      </c>
      <c r="P255" s="42">
        <f t="shared" si="100"/>
        <v>100.65749999999998</v>
      </c>
      <c r="Q255" s="42">
        <f t="shared" si="101"/>
        <v>80.797083333333319</v>
      </c>
      <c r="R255" s="42">
        <f t="shared" si="102"/>
        <v>0.95833333333333337</v>
      </c>
      <c r="S255" s="52">
        <v>20</v>
      </c>
      <c r="T255" s="54">
        <v>0.53125</v>
      </c>
      <c r="U255" s="54">
        <v>0.71527777777777779</v>
      </c>
      <c r="V255" s="52"/>
      <c r="W255" s="52"/>
      <c r="X255" s="52"/>
      <c r="Y255" s="52"/>
      <c r="Z255" s="52">
        <v>1</v>
      </c>
      <c r="AA255" s="46">
        <f t="shared" si="91"/>
        <v>3</v>
      </c>
      <c r="AB255" s="47">
        <f t="shared" si="92"/>
        <v>3.416666666666667</v>
      </c>
      <c r="AC255" s="47">
        <f t="shared" si="93"/>
        <v>0.41666666666666696</v>
      </c>
      <c r="AD255" s="48">
        <f t="shared" si="94"/>
        <v>35.121951219512191</v>
      </c>
      <c r="AE255" s="46">
        <f t="shared" si="95"/>
        <v>141.88999999999999</v>
      </c>
      <c r="AF255" s="49">
        <f t="shared" si="96"/>
        <v>0.86111111111111105</v>
      </c>
      <c r="AG255" s="49">
        <f t="shared" si="97"/>
        <v>0.87804878048780477</v>
      </c>
      <c r="AH255" s="71">
        <f t="shared" si="98"/>
        <v>0.72459349593495914</v>
      </c>
    </row>
    <row r="256" spans="1:34" x14ac:dyDescent="0.25">
      <c r="A256" s="61">
        <v>31</v>
      </c>
      <c r="B256" s="24">
        <v>46231</v>
      </c>
      <c r="C256" s="1" t="s">
        <v>34</v>
      </c>
      <c r="D256" s="1">
        <v>5470</v>
      </c>
      <c r="E256" s="1" t="s">
        <v>35</v>
      </c>
      <c r="F256" s="31" t="s">
        <v>36</v>
      </c>
      <c r="G256" s="62">
        <v>6643.15</v>
      </c>
      <c r="H256" s="52">
        <v>5039.3499999999995</v>
      </c>
      <c r="I256" s="52">
        <v>60</v>
      </c>
      <c r="J256" s="52">
        <v>0</v>
      </c>
      <c r="K256" s="42"/>
      <c r="L256" s="52"/>
      <c r="M256" s="52"/>
      <c r="N256" s="19" cm="1">
        <f t="array" ref="N256">_xlfn.IFS(E256="MOLINOS CHAMPION S.F",42,E256="PROPALCOL",42,E256="MASTERTEC",42,E256="GANADERIA OVIA",42,E256="ENGORDE",40,E256="DESCARTES",40,E256="REPRODUCTORA",10,E256="BAJO PESO",40,E256="CHICKENCORP",42)</f>
        <v>42</v>
      </c>
      <c r="O256" s="41">
        <f t="shared" si="99"/>
        <v>0.75857838525398336</v>
      </c>
      <c r="P256" s="42">
        <f t="shared" si="100"/>
        <v>110.71916666666667</v>
      </c>
      <c r="Q256" s="42">
        <f t="shared" si="101"/>
        <v>83.989166666666662</v>
      </c>
      <c r="R256" s="42">
        <f t="shared" si="102"/>
        <v>1</v>
      </c>
      <c r="S256" s="52">
        <v>21</v>
      </c>
      <c r="T256" s="54">
        <v>0.34027777777777779</v>
      </c>
      <c r="U256" s="54">
        <v>0.43402777777777779</v>
      </c>
      <c r="V256" s="52"/>
      <c r="W256" s="52"/>
      <c r="X256" s="52"/>
      <c r="Y256" s="52"/>
      <c r="Z256" s="52"/>
      <c r="AA256" s="46">
        <f t="shared" si="91"/>
        <v>1.4285714285714286</v>
      </c>
      <c r="AB256" s="47">
        <f t="shared" si="92"/>
        <v>2.25</v>
      </c>
      <c r="AC256" s="47">
        <f t="shared" si="93"/>
        <v>0.8214285714285714</v>
      </c>
      <c r="AD256" s="48">
        <f t="shared" si="94"/>
        <v>26.666666666666668</v>
      </c>
      <c r="AE256" s="46">
        <f t="shared" si="95"/>
        <v>106.65</v>
      </c>
      <c r="AF256" s="49">
        <f t="shared" si="96"/>
        <v>0.42500000000000004</v>
      </c>
      <c r="AG256" s="49">
        <f t="shared" si="97"/>
        <v>0.634920634920635</v>
      </c>
      <c r="AH256" s="71">
        <f t="shared" si="98"/>
        <v>0.26984126984126988</v>
      </c>
    </row>
    <row r="257" spans="1:34" x14ac:dyDescent="0.25">
      <c r="A257" s="61">
        <v>31</v>
      </c>
      <c r="B257" s="24">
        <v>46231</v>
      </c>
      <c r="C257" s="22" t="s">
        <v>34</v>
      </c>
      <c r="D257" s="22">
        <v>274</v>
      </c>
      <c r="E257" s="22" t="s">
        <v>37</v>
      </c>
      <c r="F257" s="22" t="s">
        <v>36</v>
      </c>
      <c r="G257" s="62">
        <v>15319.7</v>
      </c>
      <c r="H257" s="52">
        <v>12161.350000000004</v>
      </c>
      <c r="I257" s="52">
        <v>150</v>
      </c>
      <c r="J257" s="52">
        <v>5</v>
      </c>
      <c r="K257" s="42" t="s">
        <v>62</v>
      </c>
      <c r="L257" s="52"/>
      <c r="M257" s="52"/>
      <c r="N257" s="19" cm="1">
        <f t="array" ref="N257">_xlfn.IFS(E257="MOLINOS CHAMPION S.F",42,E257="PROPALCOL",42,E257="MASTERTEC",42,E257="GANADERIA OVIA",42,E257="ENGORDE",40,E257="DESCARTES",40,E257="REPRODUCTORA",10,E257="BAJO PESO",40,E257="CHICKENCORP",42)</f>
        <v>40</v>
      </c>
      <c r="O257" s="41">
        <f t="shared" si="99"/>
        <v>0.79383734668433481</v>
      </c>
      <c r="P257" s="42">
        <f t="shared" si="100"/>
        <v>102.13133333333334</v>
      </c>
      <c r="Q257" s="42">
        <f t="shared" si="101"/>
        <v>81.075666666666692</v>
      </c>
      <c r="R257" s="42">
        <f t="shared" si="102"/>
        <v>0.96666666666666667</v>
      </c>
      <c r="S257" s="52">
        <v>21</v>
      </c>
      <c r="T257" s="54">
        <v>0.41666666666666669</v>
      </c>
      <c r="U257" s="54">
        <v>0.69513888888888886</v>
      </c>
      <c r="V257" s="52"/>
      <c r="W257" s="52"/>
      <c r="X257" s="52"/>
      <c r="Y257" s="52"/>
      <c r="Z257" s="52">
        <v>1</v>
      </c>
      <c r="AA257" s="46">
        <f t="shared" si="91"/>
        <v>3.75</v>
      </c>
      <c r="AB257" s="47">
        <f t="shared" si="92"/>
        <v>5.6833333333333336</v>
      </c>
      <c r="AC257" s="47">
        <f t="shared" si="93"/>
        <v>1.9333333333333336</v>
      </c>
      <c r="AD257" s="48">
        <f t="shared" si="94"/>
        <v>26.392961876832842</v>
      </c>
      <c r="AE257" s="46">
        <f t="shared" si="95"/>
        <v>101.9</v>
      </c>
      <c r="AF257" s="49">
        <f t="shared" si="96"/>
        <v>0.4844444444444444</v>
      </c>
      <c r="AG257" s="49">
        <f t="shared" si="97"/>
        <v>0.65982404692082108</v>
      </c>
      <c r="AH257" s="71">
        <f t="shared" si="98"/>
        <v>0.30899315738025412</v>
      </c>
    </row>
    <row r="258" spans="1:34" x14ac:dyDescent="0.25">
      <c r="A258" s="61">
        <v>31</v>
      </c>
      <c r="B258" s="24">
        <v>46232</v>
      </c>
      <c r="C258" s="68" t="s">
        <v>34</v>
      </c>
      <c r="D258" s="68">
        <v>5470</v>
      </c>
      <c r="E258" s="68" t="s">
        <v>35</v>
      </c>
      <c r="F258" s="30" t="s">
        <v>36</v>
      </c>
      <c r="G258" s="62">
        <v>12731.449999999988</v>
      </c>
      <c r="H258" s="52">
        <v>9635.3500000000058</v>
      </c>
      <c r="I258" s="52">
        <v>120</v>
      </c>
      <c r="J258" s="52">
        <v>4</v>
      </c>
      <c r="K258" s="42" t="s">
        <v>62</v>
      </c>
      <c r="L258" s="52"/>
      <c r="M258" s="52"/>
      <c r="N258" s="19" cm="1">
        <f t="array" ref="N258">_xlfn.IFS(E258="MOLINOS CHAMPION S.F",42,E258="PROPALCOL",42,E258="MASTERTEC",42,E258="GANADERIA OVIA",42,E258="ENGORDE",40,E258="DESCARTES",40,E258="REPRODUCTORA",10,E258="BAJO PESO",40,E258="CHICKENCORP",42)</f>
        <v>42</v>
      </c>
      <c r="O258" s="41">
        <f t="shared" si="99"/>
        <v>0.75681481685118468</v>
      </c>
      <c r="P258" s="42">
        <f t="shared" si="100"/>
        <v>106.09541666666657</v>
      </c>
      <c r="Q258" s="42">
        <f t="shared" si="101"/>
        <v>80.294583333333378</v>
      </c>
      <c r="R258" s="42">
        <f t="shared" si="102"/>
        <v>0.96666666666666667</v>
      </c>
      <c r="S258" s="52">
        <v>19</v>
      </c>
      <c r="T258" s="54">
        <v>0.34375</v>
      </c>
      <c r="U258" s="54">
        <v>0.52847222222222223</v>
      </c>
      <c r="V258" s="52"/>
      <c r="W258" s="52"/>
      <c r="X258" s="52"/>
      <c r="Y258" s="52"/>
      <c r="Z258" s="52"/>
      <c r="AA258" s="46">
        <f t="shared" si="91"/>
        <v>2.8571428571428572</v>
      </c>
      <c r="AB258" s="47">
        <f t="shared" si="92"/>
        <v>4.4333333333333336</v>
      </c>
      <c r="AC258" s="47">
        <f t="shared" si="93"/>
        <v>1.5761904761904764</v>
      </c>
      <c r="AD258" s="48">
        <f t="shared" si="94"/>
        <v>27.06766917293233</v>
      </c>
      <c r="AE258" s="46">
        <f t="shared" si="95"/>
        <v>114.39</v>
      </c>
      <c r="AF258" s="49">
        <f t="shared" si="96"/>
        <v>0.44833333333333331</v>
      </c>
      <c r="AG258" s="49">
        <f t="shared" si="97"/>
        <v>0.6444683136412459</v>
      </c>
      <c r="AH258" s="71">
        <f t="shared" si="98"/>
        <v>0.27930540637307549</v>
      </c>
    </row>
    <row r="259" spans="1:34" x14ac:dyDescent="0.25">
      <c r="A259" s="61">
        <v>31</v>
      </c>
      <c r="B259" s="24">
        <v>46232</v>
      </c>
      <c r="C259" s="52" t="s">
        <v>34</v>
      </c>
      <c r="D259" s="52">
        <v>274</v>
      </c>
      <c r="E259" s="52" t="s">
        <v>37</v>
      </c>
      <c r="F259" s="52" t="s">
        <v>36</v>
      </c>
      <c r="G259" s="62">
        <v>6883.9500000000016</v>
      </c>
      <c r="H259" s="52">
        <v>5593.25</v>
      </c>
      <c r="I259" s="52">
        <v>70</v>
      </c>
      <c r="J259" s="52">
        <v>1</v>
      </c>
      <c r="K259" s="42" t="s">
        <v>62</v>
      </c>
      <c r="L259" s="52"/>
      <c r="M259" s="52"/>
      <c r="N259" s="19" cm="1">
        <f t="array" ref="N259">_xlfn.IFS(E259="MOLINOS CHAMPION S.F",42,E259="PROPALCOL",42,E259="MASTERTEC",42,E259="GANADERIA OVIA",42,E259="ENGORDE",40,E259="DESCARTES",40,E259="REPRODUCTORA",10,E259="BAJO PESO",40,E259="CHICKENCORP",42)</f>
        <v>40</v>
      </c>
      <c r="O259" s="41">
        <f t="shared" si="99"/>
        <v>0.81250590140834822</v>
      </c>
      <c r="P259" s="42">
        <f t="shared" si="100"/>
        <v>98.342142857142875</v>
      </c>
      <c r="Q259" s="42">
        <f t="shared" si="101"/>
        <v>79.903571428571425</v>
      </c>
      <c r="R259" s="42">
        <f t="shared" si="102"/>
        <v>0.98571428571428577</v>
      </c>
      <c r="S259" s="52">
        <v>19</v>
      </c>
      <c r="T259" s="54">
        <v>0.62152777777777779</v>
      </c>
      <c r="U259" s="54">
        <v>0.7104166666666667</v>
      </c>
      <c r="V259" s="52"/>
      <c r="W259" s="52"/>
      <c r="X259" s="52"/>
      <c r="Y259" s="52"/>
      <c r="Z259" s="52"/>
      <c r="AA259" s="46">
        <f t="shared" si="91"/>
        <v>1.75</v>
      </c>
      <c r="AB259" s="47">
        <f t="shared" si="92"/>
        <v>2.1333333333333333</v>
      </c>
      <c r="AC259" s="47">
        <f t="shared" si="93"/>
        <v>0.3833333333333333</v>
      </c>
      <c r="AD259" s="48">
        <f t="shared" si="94"/>
        <v>32.8125</v>
      </c>
      <c r="AE259" s="46">
        <f t="shared" si="95"/>
        <v>137.99</v>
      </c>
      <c r="AF259" s="49">
        <f t="shared" si="96"/>
        <v>0.78095238095238095</v>
      </c>
      <c r="AG259" s="49">
        <f t="shared" si="97"/>
        <v>0.8203125</v>
      </c>
      <c r="AH259" s="71">
        <f t="shared" si="98"/>
        <v>0.63147321428571435</v>
      </c>
    </row>
    <row r="260" spans="1:34" x14ac:dyDescent="0.25">
      <c r="A260" s="64">
        <v>31</v>
      </c>
      <c r="B260" s="63">
        <v>46232</v>
      </c>
      <c r="C260" s="57" t="s">
        <v>34</v>
      </c>
      <c r="D260" s="57">
        <v>274</v>
      </c>
      <c r="E260" s="57" t="s">
        <v>37</v>
      </c>
      <c r="F260" s="57" t="s">
        <v>36</v>
      </c>
      <c r="G260" s="65">
        <v>6202.9000000000005</v>
      </c>
      <c r="H260" s="57">
        <v>5050.0999999999995</v>
      </c>
      <c r="I260" s="57">
        <v>60</v>
      </c>
      <c r="J260" s="57">
        <v>5</v>
      </c>
      <c r="K260" s="42" t="s">
        <v>62</v>
      </c>
      <c r="L260" s="57"/>
      <c r="M260" s="57"/>
      <c r="N260" s="19" cm="1">
        <f t="array" ref="N260">_xlfn.IFS(E260="MOLINOS CHAMPION S.F",42,E260="PROPALCOL",42,E260="MASTERTEC",42,E260="GANADERIA OVIA",42,E260="ENGORDE",40,E260="DESCARTES",40,E260="REPRODUCTORA",10,E260="BAJO PESO",40,E260="CHICKENCORP",42)</f>
        <v>40</v>
      </c>
      <c r="O260" s="41">
        <f t="shared" si="99"/>
        <v>0.81415144529171823</v>
      </c>
      <c r="P260" s="42">
        <f t="shared" si="100"/>
        <v>103.38166666666667</v>
      </c>
      <c r="Q260" s="42">
        <f t="shared" si="101"/>
        <v>84.168333333333322</v>
      </c>
      <c r="R260" s="42">
        <f t="shared" si="102"/>
        <v>0.91666666666666663</v>
      </c>
      <c r="S260" s="57">
        <v>19</v>
      </c>
      <c r="T260" s="59">
        <v>0.55208333333333337</v>
      </c>
      <c r="U260" s="59">
        <v>0.63541666666666663</v>
      </c>
      <c r="V260" s="57"/>
      <c r="W260" s="57"/>
      <c r="X260" s="57"/>
      <c r="Y260" s="57"/>
      <c r="Z260" s="57">
        <v>1</v>
      </c>
      <c r="AA260" s="46">
        <f t="shared" si="91"/>
        <v>1.5</v>
      </c>
      <c r="AB260" s="47">
        <f t="shared" si="92"/>
        <v>1</v>
      </c>
      <c r="AC260" s="47">
        <f t="shared" si="93"/>
        <v>0</v>
      </c>
      <c r="AD260" s="48">
        <f t="shared" si="94"/>
        <v>60</v>
      </c>
      <c r="AE260" s="46">
        <f t="shared" si="95"/>
        <v>265.79000000000002</v>
      </c>
      <c r="AF260" s="49">
        <f t="shared" si="96"/>
        <v>1</v>
      </c>
      <c r="AG260" s="49">
        <f t="shared" si="97"/>
        <v>1</v>
      </c>
      <c r="AH260" s="71">
        <f t="shared" si="98"/>
        <v>0.91666666666666663</v>
      </c>
    </row>
    <row r="261" spans="1:34" x14ac:dyDescent="0.25">
      <c r="A261" s="22">
        <v>31</v>
      </c>
      <c r="B261" s="24">
        <v>46233</v>
      </c>
      <c r="C261" s="57" t="s">
        <v>34</v>
      </c>
      <c r="D261" s="57">
        <v>274</v>
      </c>
      <c r="E261" s="57" t="s">
        <v>37</v>
      </c>
      <c r="F261" s="57" t="s">
        <v>36</v>
      </c>
      <c r="G261" s="22">
        <v>12291.399999999998</v>
      </c>
      <c r="H261" s="22">
        <v>9853.6999999999971</v>
      </c>
      <c r="I261" s="22">
        <v>120</v>
      </c>
      <c r="J261" s="22">
        <v>2</v>
      </c>
      <c r="K261" s="42" t="s">
        <v>62</v>
      </c>
      <c r="L261" s="22"/>
      <c r="M261" s="22"/>
      <c r="N261" s="19" cm="1">
        <f t="array" ref="N261">_xlfn.IFS(E261="MOLINOS CHAMPION S.F",42,E261="PROPALCOL",42,E261="MASTERTEC",42,E261="GANADERIA OVIA",42,E261="ENGORDE",40,E261="DESCARTES",40,E261="REPRODUCTORA",10,E261="BAJO PESO",40,E261="CHICKENCORP",42)</f>
        <v>40</v>
      </c>
      <c r="O261" s="41">
        <f t="shared" si="99"/>
        <v>0.80167434140944061</v>
      </c>
      <c r="P261" s="42">
        <f t="shared" si="100"/>
        <v>102.42833333333331</v>
      </c>
      <c r="Q261" s="42">
        <f t="shared" si="101"/>
        <v>82.114166666666648</v>
      </c>
      <c r="R261" s="42">
        <f t="shared" si="102"/>
        <v>0.98333333333333328</v>
      </c>
      <c r="S261" s="22">
        <v>26</v>
      </c>
      <c r="T261" s="23">
        <v>0.53125</v>
      </c>
      <c r="U261" s="23">
        <v>0.69444444444444442</v>
      </c>
      <c r="V261" s="22"/>
      <c r="W261" s="22"/>
      <c r="X261" s="22"/>
      <c r="Y261" s="22"/>
      <c r="Z261" s="22">
        <v>1</v>
      </c>
      <c r="AA261" s="46">
        <f t="shared" si="91"/>
        <v>3</v>
      </c>
      <c r="AB261" s="47">
        <f t="shared" si="92"/>
        <v>2.9166666666666665</v>
      </c>
      <c r="AC261" s="47">
        <f t="shared" si="93"/>
        <v>0</v>
      </c>
      <c r="AD261" s="48">
        <f t="shared" si="94"/>
        <v>41.142857142857146</v>
      </c>
      <c r="AE261" s="46">
        <f t="shared" si="95"/>
        <v>129.94</v>
      </c>
      <c r="AF261" s="49">
        <f t="shared" si="96"/>
        <v>1</v>
      </c>
      <c r="AG261" s="49">
        <f t="shared" si="97"/>
        <v>1</v>
      </c>
      <c r="AH261" s="71">
        <f t="shared" si="98"/>
        <v>0.98333333333333328</v>
      </c>
    </row>
    <row r="262" spans="1:34" x14ac:dyDescent="0.25">
      <c r="A262" s="22">
        <v>31</v>
      </c>
      <c r="B262" s="24">
        <v>46234</v>
      </c>
      <c r="C262" s="57" t="s">
        <v>34</v>
      </c>
      <c r="D262" s="57">
        <v>274</v>
      </c>
      <c r="E262" s="57" t="s">
        <v>37</v>
      </c>
      <c r="F262" s="57" t="s">
        <v>36</v>
      </c>
      <c r="G262" s="22">
        <v>23424.500000000004</v>
      </c>
      <c r="H262" s="22">
        <v>18999.8</v>
      </c>
      <c r="I262" s="22">
        <v>231</v>
      </c>
      <c r="J262" s="22">
        <v>4</v>
      </c>
      <c r="K262" s="42" t="s">
        <v>62</v>
      </c>
      <c r="L262" s="22"/>
      <c r="M262" s="22"/>
      <c r="N262" s="19" cm="1">
        <f t="array" ref="N262">_xlfn.IFS(E262="MOLINOS CHAMPION S.F",42,E262="PROPALCOL",42,E262="MASTERTEC",42,E262="GANADERIA OVIA",42,E262="ENGORDE",40,E262="DESCARTES",40,E262="REPRODUCTORA",10,E262="BAJO PESO",40,E262="CHICKENCORP",42)</f>
        <v>40</v>
      </c>
      <c r="O262" s="41">
        <f t="shared" si="99"/>
        <v>0.81110802791948589</v>
      </c>
      <c r="P262" s="42">
        <f t="shared" si="100"/>
        <v>101.40476190476193</v>
      </c>
      <c r="Q262" s="42">
        <f t="shared" si="101"/>
        <v>82.250216450216442</v>
      </c>
      <c r="R262" s="42">
        <f t="shared" si="102"/>
        <v>0.98268398268398272</v>
      </c>
      <c r="S262" s="22">
        <v>29</v>
      </c>
      <c r="T262" s="23">
        <v>0.33333333333333331</v>
      </c>
      <c r="U262" s="23">
        <v>0.62361111111111112</v>
      </c>
      <c r="V262" s="22"/>
      <c r="W262" s="22"/>
      <c r="X262" s="22"/>
      <c r="Y262" s="22"/>
      <c r="Z262" s="22">
        <v>1</v>
      </c>
      <c r="AA262" s="46">
        <f t="shared" si="91"/>
        <v>5.7750000000000004</v>
      </c>
      <c r="AB262" s="47">
        <f t="shared" si="92"/>
        <v>5.9666666666666668</v>
      </c>
      <c r="AC262" s="47">
        <f t="shared" si="93"/>
        <v>0.19166666666666643</v>
      </c>
      <c r="AD262" s="48">
        <f t="shared" si="94"/>
        <v>38.715083798882681</v>
      </c>
      <c r="AE262" s="46">
        <f t="shared" si="95"/>
        <v>109.8</v>
      </c>
      <c r="AF262" s="49">
        <f t="shared" si="96"/>
        <v>0.9668109668109669</v>
      </c>
      <c r="AG262" s="49">
        <f t="shared" si="97"/>
        <v>0.96787709497206698</v>
      </c>
      <c r="AH262" s="71">
        <f t="shared" si="98"/>
        <v>0.91955065418752568</v>
      </c>
    </row>
    <row r="263" spans="1:34" x14ac:dyDescent="0.25">
      <c r="A263" s="22">
        <v>31</v>
      </c>
      <c r="B263" s="24">
        <v>46234</v>
      </c>
      <c r="C263" s="17" t="s">
        <v>38</v>
      </c>
      <c r="D263" s="69"/>
      <c r="E263" s="17" t="s">
        <v>39</v>
      </c>
      <c r="F263" s="40" t="s">
        <v>42</v>
      </c>
      <c r="G263" s="42">
        <v>2441.9</v>
      </c>
      <c r="H263" s="22">
        <v>1831.25</v>
      </c>
      <c r="I263" s="22">
        <v>10</v>
      </c>
      <c r="J263" s="22">
        <v>5</v>
      </c>
      <c r="K263" s="42" t="s">
        <v>62</v>
      </c>
      <c r="L263" s="22"/>
      <c r="M263" s="22"/>
      <c r="N263" s="19" cm="1">
        <f t="array" ref="N263">_xlfn.IFS(E263="MOLINOS CHAMPION S.F",42,E263="PROPALCOL",42,E263="MASTERTEC",42,E263="GANADERIA OVIA",42,E263="ENGORDE",40,E263="DESCARTES",40,E263="REPRODUCTORA",10,E263="BAJO PESO",40,E263="CHICKENCORP",42)</f>
        <v>10</v>
      </c>
      <c r="O263" s="41">
        <f t="shared" si="99"/>
        <v>0.74992833449363194</v>
      </c>
      <c r="P263" s="42">
        <f t="shared" si="100"/>
        <v>244.19</v>
      </c>
      <c r="Q263" s="42">
        <f t="shared" si="101"/>
        <v>183.125</v>
      </c>
      <c r="R263" s="42">
        <f t="shared" si="102"/>
        <v>0.5</v>
      </c>
      <c r="S263" s="22">
        <v>29</v>
      </c>
      <c r="T263" s="23">
        <v>0.60555555555555551</v>
      </c>
      <c r="U263" s="23">
        <v>0.65138888888888891</v>
      </c>
      <c r="V263" s="22"/>
      <c r="W263" s="22"/>
      <c r="X263" s="22"/>
      <c r="Y263" s="22"/>
      <c r="Z263" s="22"/>
      <c r="AA263" s="46">
        <f t="shared" si="91"/>
        <v>1</v>
      </c>
      <c r="AB263" s="47">
        <f t="shared" si="92"/>
        <v>1.1000000000000001</v>
      </c>
      <c r="AC263" s="47">
        <f t="shared" si="93"/>
        <v>0.10000000000000009</v>
      </c>
      <c r="AD263" s="48">
        <f t="shared" si="94"/>
        <v>9.0909090909090899</v>
      </c>
      <c r="AE263" s="46">
        <f t="shared" si="95"/>
        <v>57.41</v>
      </c>
      <c r="AF263" s="49">
        <f t="shared" si="96"/>
        <v>0.89999999999999991</v>
      </c>
      <c r="AG263" s="49">
        <f t="shared" si="97"/>
        <v>0.90909090909090895</v>
      </c>
      <c r="AH263" s="71">
        <f t="shared" si="98"/>
        <v>0.40909090909090901</v>
      </c>
    </row>
    <row r="264" spans="1:34" x14ac:dyDescent="0.25">
      <c r="A264" s="22">
        <v>31</v>
      </c>
      <c r="B264" s="24">
        <v>46235</v>
      </c>
      <c r="C264" s="64" t="s">
        <v>34</v>
      </c>
      <c r="D264" s="22">
        <v>274</v>
      </c>
      <c r="E264" s="22" t="s">
        <v>37</v>
      </c>
      <c r="F264" s="22" t="s">
        <v>36</v>
      </c>
      <c r="G264" s="22">
        <v>20409.850000000002</v>
      </c>
      <c r="H264" s="22">
        <v>16479.450000000004</v>
      </c>
      <c r="I264" s="22">
        <v>180</v>
      </c>
      <c r="J264" s="22">
        <v>3</v>
      </c>
      <c r="K264" s="42" t="s">
        <v>62</v>
      </c>
      <c r="L264" s="22"/>
      <c r="M264" s="22"/>
      <c r="N264" s="19" cm="1">
        <f t="array" ref="N264">_xlfn.IFS(E264="MOLINOS CHAMPION S.F",42,E264="PROPALCOL",42,E264="MASTERTEC",42,E264="GANADERIA OVIA",42,E264="ENGORDE",40,E264="DESCARTES",40,E264="REPRODUCTORA",10,E264="BAJO PESO",40,E264="CHICKENCORP",42)</f>
        <v>40</v>
      </c>
      <c r="O264" s="41">
        <f t="shared" si="99"/>
        <v>0.80742631621496497</v>
      </c>
      <c r="P264" s="42">
        <f t="shared" si="100"/>
        <v>113.38805555555557</v>
      </c>
      <c r="Q264" s="42">
        <f t="shared" si="101"/>
        <v>91.552500000000023</v>
      </c>
      <c r="R264" s="42">
        <f t="shared" si="102"/>
        <v>0.98333333333333328</v>
      </c>
      <c r="S264" s="22">
        <v>34</v>
      </c>
      <c r="T264" s="23">
        <v>0.33333333333333331</v>
      </c>
      <c r="U264" s="23">
        <v>0.57847222222222228</v>
      </c>
      <c r="V264" s="22"/>
      <c r="W264" s="22"/>
      <c r="X264" s="22"/>
      <c r="Y264" s="22"/>
      <c r="Z264" s="22">
        <v>1</v>
      </c>
      <c r="AA264" s="46">
        <f t="shared" si="91"/>
        <v>4.5</v>
      </c>
      <c r="AB264" s="47">
        <f t="shared" si="92"/>
        <v>4.8833333333333329</v>
      </c>
      <c r="AC264" s="47">
        <f t="shared" si="93"/>
        <v>0.38333333333333286</v>
      </c>
      <c r="AD264" s="48">
        <f t="shared" si="94"/>
        <v>36.86006825938567</v>
      </c>
      <c r="AE264" s="46">
        <f t="shared" si="95"/>
        <v>99.25</v>
      </c>
      <c r="AF264" s="49">
        <f t="shared" si="96"/>
        <v>0.91481481481481497</v>
      </c>
      <c r="AG264" s="49">
        <f t="shared" si="97"/>
        <v>0.9215017064846418</v>
      </c>
      <c r="AH264" s="71">
        <f t="shared" si="98"/>
        <v>0.82895335608646215</v>
      </c>
    </row>
    <row r="265" spans="1:34" x14ac:dyDescent="0.25">
      <c r="A265" s="22">
        <v>32</v>
      </c>
      <c r="B265" s="24">
        <v>46237</v>
      </c>
      <c r="C265" s="1" t="s">
        <v>34</v>
      </c>
      <c r="D265" s="1">
        <v>5470</v>
      </c>
      <c r="E265" s="1" t="s">
        <v>35</v>
      </c>
      <c r="F265" s="31" t="s">
        <v>36</v>
      </c>
      <c r="G265" s="66">
        <v>6582.4499999999989</v>
      </c>
      <c r="H265" s="22">
        <v>5001.7499999999991</v>
      </c>
      <c r="I265" s="22">
        <v>60</v>
      </c>
      <c r="J265" s="22">
        <v>2</v>
      </c>
      <c r="K265" s="42" t="s">
        <v>62</v>
      </c>
      <c r="L265" s="22"/>
      <c r="M265" s="22"/>
      <c r="N265" s="19" cm="1">
        <f t="array" ref="N265">_xlfn.IFS(E265="MOLINOS CHAMPION S.F",42,E265="PROPALCOL",42,E265="MASTERTEC",42,E265="GANADERIA OVIA",42,E265="ENGORDE",40,E265="DESCARTES",40,E265="REPRODUCTORA",10,E265="BAJO PESO",40,E265="CHICKENCORP",42)</f>
        <v>42</v>
      </c>
      <c r="O265" s="41">
        <f t="shared" si="99"/>
        <v>0.7598614497641456</v>
      </c>
      <c r="P265" s="42">
        <f t="shared" si="100"/>
        <v>109.70749999999998</v>
      </c>
      <c r="Q265" s="42">
        <f t="shared" si="101"/>
        <v>83.362499999999983</v>
      </c>
      <c r="R265" s="42">
        <f t="shared" si="102"/>
        <v>0.96666666666666667</v>
      </c>
      <c r="S265" s="22"/>
      <c r="T265" s="22"/>
      <c r="U265" s="22"/>
      <c r="V265" s="22"/>
      <c r="W265" s="22"/>
      <c r="X265" s="22"/>
      <c r="Y265" s="22"/>
      <c r="Z265" s="22"/>
      <c r="AA265" s="46">
        <f t="shared" si="91"/>
        <v>1.4285714285714286</v>
      </c>
      <c r="AB265" s="47">
        <f t="shared" si="92"/>
        <v>0</v>
      </c>
      <c r="AC265" s="47">
        <f t="shared" si="93"/>
        <v>0</v>
      </c>
      <c r="AD265" s="48" t="e">
        <f t="shared" si="94"/>
        <v>#DIV/0!</v>
      </c>
      <c r="AE265" s="46" t="e">
        <f t="shared" si="95"/>
        <v>#DIV/0!</v>
      </c>
      <c r="AF265" s="49">
        <f t="shared" si="96"/>
        <v>1</v>
      </c>
      <c r="AG265" s="49">
        <f t="shared" si="97"/>
        <v>0</v>
      </c>
      <c r="AH265" s="71">
        <f t="shared" si="98"/>
        <v>0</v>
      </c>
    </row>
    <row r="266" spans="1:34" x14ac:dyDescent="0.25">
      <c r="A266" s="22">
        <v>32</v>
      </c>
      <c r="B266" s="24">
        <v>46237</v>
      </c>
      <c r="C266" s="22" t="s">
        <v>34</v>
      </c>
      <c r="D266" s="22">
        <v>274</v>
      </c>
      <c r="E266" s="22" t="s">
        <v>37</v>
      </c>
      <c r="F266" s="22" t="s">
        <v>36</v>
      </c>
      <c r="G266" s="66">
        <v>18984.349999999999</v>
      </c>
      <c r="H266" s="22">
        <v>15662.599999999999</v>
      </c>
      <c r="I266" s="22">
        <v>168</v>
      </c>
      <c r="J266" s="22">
        <v>5</v>
      </c>
      <c r="K266" s="42" t="s">
        <v>62</v>
      </c>
      <c r="L266" s="22"/>
      <c r="M266" s="22"/>
      <c r="N266" s="19" cm="1">
        <f t="array" ref="N266">_xlfn.IFS(E266="MOLINOS CHAMPION S.F",42,E266="PROPALCOL",42,E266="MASTERTEC",42,E266="GANADERIA OVIA",42,E266="ENGORDE",40,E266="DESCARTES",40,E266="REPRODUCTORA",10,E266="BAJO PESO",40,E266="CHICKENCORP",42)</f>
        <v>40</v>
      </c>
      <c r="O266" s="41">
        <f t="shared" si="99"/>
        <v>0.82502693007661576</v>
      </c>
      <c r="P266" s="42">
        <f t="shared" si="100"/>
        <v>113.00208333333333</v>
      </c>
      <c r="Q266" s="42">
        <f t="shared" si="101"/>
        <v>93.229761904761901</v>
      </c>
      <c r="R266" s="42">
        <f t="shared" si="102"/>
        <v>0.97023809523809523</v>
      </c>
      <c r="S266" s="22"/>
      <c r="T266" s="22"/>
      <c r="U266" s="22"/>
      <c r="V266" s="22"/>
      <c r="W266" s="22"/>
      <c r="X266" s="22"/>
      <c r="Y266" s="22"/>
      <c r="Z266" s="22">
        <v>1</v>
      </c>
      <c r="AA266" s="46">
        <f t="shared" si="91"/>
        <v>4.2</v>
      </c>
      <c r="AB266" s="47">
        <f t="shared" si="92"/>
        <v>-1</v>
      </c>
      <c r="AC266" s="47">
        <f t="shared" si="93"/>
        <v>0</v>
      </c>
      <c r="AD266" s="48">
        <f t="shared" si="94"/>
        <v>-168</v>
      </c>
      <c r="AE266" s="46" t="e">
        <f t="shared" si="95"/>
        <v>#DIV/0!</v>
      </c>
      <c r="AF266" s="49">
        <f t="shared" si="96"/>
        <v>1</v>
      </c>
      <c r="AG266" s="49">
        <f t="shared" si="97"/>
        <v>-4.2</v>
      </c>
      <c r="AH266" s="71">
        <f t="shared" si="98"/>
        <v>-4.0750000000000002</v>
      </c>
    </row>
    <row r="267" spans="1:34" x14ac:dyDescent="0.25">
      <c r="A267" s="22">
        <v>32</v>
      </c>
      <c r="B267" s="24">
        <v>46238</v>
      </c>
      <c r="C267" s="1" t="s">
        <v>34</v>
      </c>
      <c r="D267" s="1">
        <v>5470</v>
      </c>
      <c r="E267" s="1" t="s">
        <v>35</v>
      </c>
      <c r="F267" s="31" t="s">
        <v>36</v>
      </c>
      <c r="G267" s="66">
        <v>6835.4999999999991</v>
      </c>
      <c r="H267" s="22">
        <v>5272.6000000000013</v>
      </c>
      <c r="I267" s="22">
        <v>60</v>
      </c>
      <c r="J267" s="22">
        <v>2</v>
      </c>
      <c r="K267" s="42" t="s">
        <v>62</v>
      </c>
      <c r="L267" s="22"/>
      <c r="M267" s="22"/>
      <c r="N267" s="19" cm="1">
        <f t="array" ref="N267">_xlfn.IFS(E267="MOLINOS CHAMPION S.F",42,E267="PROPALCOL",42,E267="MASTERTEC",42,E267="GANADERIA OVIA",42,E267="ENGORDE",40,E267="DESCARTES",40,E267="REPRODUCTORA",10,E267="BAJO PESO",40,E267="CHICKENCORP",42)</f>
        <v>42</v>
      </c>
      <c r="O267" s="41">
        <f t="shared" si="99"/>
        <v>0.77135542388998635</v>
      </c>
      <c r="P267" s="42">
        <f t="shared" si="100"/>
        <v>113.92499999999998</v>
      </c>
      <c r="Q267" s="42">
        <f t="shared" si="101"/>
        <v>87.876666666666694</v>
      </c>
      <c r="R267" s="42">
        <f t="shared" si="102"/>
        <v>0.96666666666666667</v>
      </c>
      <c r="S267" s="22"/>
      <c r="T267" s="22"/>
      <c r="U267" s="22"/>
      <c r="V267" s="22"/>
      <c r="W267" s="22"/>
      <c r="X267" s="22"/>
      <c r="Y267" s="22"/>
      <c r="Z267" s="22"/>
      <c r="AA267" s="46">
        <f t="shared" si="91"/>
        <v>1.4285714285714286</v>
      </c>
      <c r="AB267" s="47">
        <f t="shared" si="92"/>
        <v>0</v>
      </c>
      <c r="AC267" s="47">
        <f t="shared" si="93"/>
        <v>0</v>
      </c>
      <c r="AD267" s="48" t="e">
        <f t="shared" si="94"/>
        <v>#DIV/0!</v>
      </c>
      <c r="AE267" s="46" t="e">
        <f t="shared" si="95"/>
        <v>#DIV/0!</v>
      </c>
      <c r="AF267" s="49">
        <f t="shared" si="96"/>
        <v>1</v>
      </c>
      <c r="AG267" s="49">
        <f t="shared" si="97"/>
        <v>0</v>
      </c>
      <c r="AH267" s="71">
        <f t="shared" si="98"/>
        <v>0</v>
      </c>
    </row>
    <row r="268" spans="1:34" x14ac:dyDescent="0.25">
      <c r="A268" s="22">
        <v>32</v>
      </c>
      <c r="B268" s="24">
        <v>46238</v>
      </c>
      <c r="C268" s="22" t="s">
        <v>34</v>
      </c>
      <c r="D268" s="22">
        <v>274</v>
      </c>
      <c r="E268" s="22" t="s">
        <v>37</v>
      </c>
      <c r="F268" s="22" t="s">
        <v>36</v>
      </c>
      <c r="G268" s="66">
        <v>17530.800000000003</v>
      </c>
      <c r="H268" s="22">
        <v>14274.999999999993</v>
      </c>
      <c r="I268" s="22">
        <v>165</v>
      </c>
      <c r="J268" s="22">
        <v>5</v>
      </c>
      <c r="K268" s="42" t="s">
        <v>62</v>
      </c>
      <c r="L268" s="22"/>
      <c r="M268" s="22"/>
      <c r="N268" s="19" cm="1">
        <f t="array" ref="N268">_xlfn.IFS(E268="MOLINOS CHAMPION S.F",42,E268="PROPALCOL",42,E268="MASTERTEC",42,E268="GANADERIA OVIA",42,E268="ENGORDE",40,E268="DESCARTES",40,E268="REPRODUCTORA",10,E268="BAJO PESO",40,E268="CHICKENCORP",42)</f>
        <v>40</v>
      </c>
      <c r="O268" s="41">
        <f t="shared" si="99"/>
        <v>0.81428115088872099</v>
      </c>
      <c r="P268" s="42">
        <f t="shared" si="100"/>
        <v>106.24727272727274</v>
      </c>
      <c r="Q268" s="42">
        <f t="shared" si="101"/>
        <v>86.515151515151473</v>
      </c>
      <c r="R268" s="42">
        <f t="shared" si="102"/>
        <v>0.96969696969696972</v>
      </c>
      <c r="S268" s="22"/>
      <c r="T268" s="22"/>
      <c r="U268" s="22"/>
      <c r="V268" s="22"/>
      <c r="W268" s="22"/>
      <c r="X268" s="22"/>
      <c r="Y268" s="22"/>
      <c r="Z268" s="22">
        <v>1</v>
      </c>
      <c r="AA268" s="46">
        <f t="shared" si="91"/>
        <v>4.125</v>
      </c>
      <c r="AB268" s="47">
        <f t="shared" si="92"/>
        <v>-1</v>
      </c>
      <c r="AC268" s="47">
        <f t="shared" si="93"/>
        <v>0</v>
      </c>
      <c r="AD268" s="48">
        <f t="shared" si="94"/>
        <v>-165</v>
      </c>
      <c r="AE268" s="46" t="e">
        <f t="shared" si="95"/>
        <v>#DIV/0!</v>
      </c>
      <c r="AF268" s="49">
        <f t="shared" si="96"/>
        <v>1</v>
      </c>
      <c r="AG268" s="49">
        <f t="shared" si="97"/>
        <v>-4.125</v>
      </c>
      <c r="AH268" s="71">
        <f t="shared" si="98"/>
        <v>-4</v>
      </c>
    </row>
    <row r="269" spans="1:34" x14ac:dyDescent="0.25">
      <c r="A269" s="22">
        <v>32</v>
      </c>
      <c r="B269" s="24">
        <v>46239</v>
      </c>
      <c r="C269" s="68" t="s">
        <v>34</v>
      </c>
      <c r="D269" s="68">
        <v>5470</v>
      </c>
      <c r="E269" s="68" t="s">
        <v>35</v>
      </c>
      <c r="F269" s="30" t="s">
        <v>36</v>
      </c>
      <c r="G269" s="66">
        <v>6352.05</v>
      </c>
      <c r="H269" s="22">
        <v>4781.0499999999993</v>
      </c>
      <c r="I269" s="22">
        <v>60</v>
      </c>
      <c r="J269" s="22">
        <v>3</v>
      </c>
      <c r="K269" s="42" t="s">
        <v>62</v>
      </c>
      <c r="L269" s="22"/>
      <c r="M269" s="22"/>
      <c r="N269" s="19" cm="1">
        <f t="array" ref="N269">_xlfn.IFS(E269="MOLINOS CHAMPION S.F",42,E269="PROPALCOL",42,E269="MASTERTEC",42,E269="GANADERIA OVIA",42,E269="ENGORDE",40,E269="DESCARTES",40,E269="REPRODUCTORA",10,E269="BAJO PESO",40,E269="CHICKENCORP",42)</f>
        <v>42</v>
      </c>
      <c r="O269" s="41">
        <f t="shared" si="99"/>
        <v>0.75267826922017289</v>
      </c>
      <c r="P269" s="42">
        <f t="shared" si="100"/>
        <v>105.86750000000001</v>
      </c>
      <c r="Q269" s="42">
        <f t="shared" si="101"/>
        <v>79.684166666666655</v>
      </c>
      <c r="R269" s="42">
        <f t="shared" si="102"/>
        <v>0.95</v>
      </c>
      <c r="S269" s="22">
        <v>18</v>
      </c>
      <c r="T269" s="23">
        <v>0.33333333333333331</v>
      </c>
      <c r="U269" s="23">
        <v>0.46875</v>
      </c>
      <c r="V269" s="22"/>
      <c r="W269" s="22"/>
      <c r="X269" s="22"/>
      <c r="Y269" s="22"/>
      <c r="Z269" s="22"/>
      <c r="AA269" s="46">
        <f t="shared" si="91"/>
        <v>1.4285714285714286</v>
      </c>
      <c r="AB269" s="47">
        <f t="shared" si="92"/>
        <v>3.25</v>
      </c>
      <c r="AC269" s="47">
        <f t="shared" si="93"/>
        <v>1.8214285714285714</v>
      </c>
      <c r="AD269" s="48">
        <f t="shared" si="94"/>
        <v>18.46153846153846</v>
      </c>
      <c r="AE269" s="46">
        <f t="shared" si="95"/>
        <v>81.73</v>
      </c>
      <c r="AF269" s="49">
        <f t="shared" si="96"/>
        <v>0</v>
      </c>
      <c r="AG269" s="49">
        <f t="shared" si="97"/>
        <v>0.4395604395604395</v>
      </c>
      <c r="AH269" s="71">
        <f t="shared" si="98"/>
        <v>0</v>
      </c>
    </row>
    <row r="270" spans="1:34" x14ac:dyDescent="0.25">
      <c r="A270" s="22">
        <v>32</v>
      </c>
      <c r="B270" s="24">
        <v>46239</v>
      </c>
      <c r="C270" s="52" t="s">
        <v>34</v>
      </c>
      <c r="D270" s="52">
        <v>274</v>
      </c>
      <c r="E270" s="52" t="s">
        <v>37</v>
      </c>
      <c r="F270" s="52" t="s">
        <v>36</v>
      </c>
      <c r="G270" s="66">
        <v>6843.6</v>
      </c>
      <c r="H270" s="22">
        <v>5488.8499999999985</v>
      </c>
      <c r="I270" s="22">
        <v>70</v>
      </c>
      <c r="J270" s="22">
        <v>1</v>
      </c>
      <c r="K270" s="42" t="s">
        <v>62</v>
      </c>
      <c r="L270" s="22"/>
      <c r="M270" s="22"/>
      <c r="N270" s="19" cm="1">
        <f t="array" ref="N270">_xlfn.IFS(E270="MOLINOS CHAMPION S.F",42,E270="PROPALCOL",42,E270="MASTERTEC",42,E270="GANADERIA OVIA",42,E270="ENGORDE",40,E270="DESCARTES",40,E270="REPRODUCTORA",10,E270="BAJO PESO",40,E270="CHICKENCORP",42)</f>
        <v>40</v>
      </c>
      <c r="O270" s="41">
        <f t="shared" si="99"/>
        <v>0.80204132328014466</v>
      </c>
      <c r="P270" s="42">
        <f t="shared" si="100"/>
        <v>97.765714285714296</v>
      </c>
      <c r="Q270" s="42">
        <f t="shared" si="101"/>
        <v>78.41214285714284</v>
      </c>
      <c r="R270" s="42">
        <f t="shared" si="102"/>
        <v>0.98571428571428577</v>
      </c>
      <c r="S270" s="22">
        <v>26</v>
      </c>
      <c r="T270" s="23">
        <v>0.59722222222222221</v>
      </c>
      <c r="U270" s="23">
        <v>0.69791666666666663</v>
      </c>
      <c r="V270" s="22"/>
      <c r="W270" s="22"/>
      <c r="X270" s="22"/>
      <c r="Y270" s="22"/>
      <c r="Z270" s="22"/>
      <c r="AA270" s="46">
        <f t="shared" si="91"/>
        <v>1.75</v>
      </c>
      <c r="AB270" s="47">
        <f t="shared" si="92"/>
        <v>2.4166666666666665</v>
      </c>
      <c r="AC270" s="47">
        <f t="shared" si="93"/>
        <v>0.66666666666666652</v>
      </c>
      <c r="AD270" s="48">
        <f t="shared" si="94"/>
        <v>28.965517241379313</v>
      </c>
      <c r="AE270" s="46">
        <f t="shared" si="95"/>
        <v>87.36</v>
      </c>
      <c r="AF270" s="49">
        <f t="shared" si="96"/>
        <v>0.61904761904761918</v>
      </c>
      <c r="AG270" s="49">
        <f t="shared" si="97"/>
        <v>0.72413793103448287</v>
      </c>
      <c r="AH270" s="71">
        <f t="shared" si="98"/>
        <v>0.44187192118226626</v>
      </c>
    </row>
    <row r="271" spans="1:34" x14ac:dyDescent="0.25">
      <c r="A271" s="22">
        <v>32</v>
      </c>
      <c r="B271" s="24">
        <v>46239</v>
      </c>
      <c r="C271" s="52" t="s">
        <v>34</v>
      </c>
      <c r="D271" s="52">
        <v>274</v>
      </c>
      <c r="E271" s="52" t="s">
        <v>37</v>
      </c>
      <c r="F271" s="52" t="s">
        <v>36</v>
      </c>
      <c r="G271" s="66">
        <v>11356.250000000004</v>
      </c>
      <c r="H271" s="22">
        <v>9175.9500000000007</v>
      </c>
      <c r="I271" s="22">
        <v>110</v>
      </c>
      <c r="J271" s="22">
        <v>4</v>
      </c>
      <c r="K271" s="42" t="s">
        <v>62</v>
      </c>
      <c r="L271" s="22"/>
      <c r="M271" s="22"/>
      <c r="N271" s="19" cm="1">
        <f t="array" ref="N271">_xlfn.IFS(E271="MOLINOS CHAMPION S.F",42,E271="PROPALCOL",42,E271="MASTERTEC",42,E271="GANADERIA OVIA",42,E271="ENGORDE",40,E271="DESCARTES",40,E271="REPRODUCTORA",10,E271="BAJO PESO",40,E271="CHICKENCORP",42)</f>
        <v>40</v>
      </c>
      <c r="O271" s="41">
        <f t="shared" si="99"/>
        <v>0.80800880572372025</v>
      </c>
      <c r="P271" s="42">
        <f t="shared" si="100"/>
        <v>103.2386363636364</v>
      </c>
      <c r="Q271" s="42">
        <f t="shared" si="101"/>
        <v>83.417727272727276</v>
      </c>
      <c r="R271" s="42">
        <f t="shared" si="102"/>
        <v>0.96363636363636362</v>
      </c>
      <c r="S271" s="22">
        <v>26</v>
      </c>
      <c r="T271" s="23">
        <v>0.5</v>
      </c>
      <c r="U271" s="23">
        <v>0.6118055555555556</v>
      </c>
      <c r="V271" s="22"/>
      <c r="W271" s="22"/>
      <c r="X271" s="22"/>
      <c r="Y271" s="22"/>
      <c r="Z271" s="22">
        <v>1</v>
      </c>
      <c r="AA271" s="46">
        <f t="shared" si="91"/>
        <v>2.75</v>
      </c>
      <c r="AB271" s="47">
        <f t="shared" si="92"/>
        <v>1.6833333333333336</v>
      </c>
      <c r="AC271" s="47">
        <f t="shared" si="93"/>
        <v>0</v>
      </c>
      <c r="AD271" s="48">
        <f t="shared" si="94"/>
        <v>65.346534653465341</v>
      </c>
      <c r="AE271" s="46">
        <f t="shared" si="95"/>
        <v>209.66</v>
      </c>
      <c r="AF271" s="49">
        <f t="shared" si="96"/>
        <v>1</v>
      </c>
      <c r="AG271" s="49">
        <f t="shared" si="97"/>
        <v>1</v>
      </c>
      <c r="AH271" s="71">
        <f t="shared" si="98"/>
        <v>0.96363636363636362</v>
      </c>
    </row>
    <row r="272" spans="1:34" x14ac:dyDescent="0.25">
      <c r="A272" s="22">
        <v>32</v>
      </c>
      <c r="B272" s="24">
        <v>46241</v>
      </c>
      <c r="C272" s="52" t="s">
        <v>34</v>
      </c>
      <c r="D272" s="52">
        <v>274</v>
      </c>
      <c r="E272" s="52" t="s">
        <v>37</v>
      </c>
      <c r="F272" s="52" t="s">
        <v>36</v>
      </c>
      <c r="G272" s="66">
        <v>23344.250000000004</v>
      </c>
      <c r="H272" s="22">
        <v>18899.850000000002</v>
      </c>
      <c r="I272" s="22">
        <v>221</v>
      </c>
      <c r="J272" s="22">
        <v>2</v>
      </c>
      <c r="K272" s="42" t="s">
        <v>62</v>
      </c>
      <c r="L272" s="22"/>
      <c r="M272" s="22"/>
      <c r="N272" s="19" cm="1">
        <f t="array" ref="N272">_xlfn.IFS(E272="MOLINOS CHAMPION S.F",42,E272="PROPALCOL",42,E272="MASTERTEC",42,E272="GANADERIA OVIA",42,E272="ENGORDE",40,E272="DESCARTES",40,E272="REPRODUCTORA",10,E272="BAJO PESO",40,E272="CHICKENCORP",42)</f>
        <v>40</v>
      </c>
      <c r="O272" s="41">
        <f t="shared" si="99"/>
        <v>0.80961478736733883</v>
      </c>
      <c r="P272" s="42">
        <f t="shared" si="100"/>
        <v>105.63009049773757</v>
      </c>
      <c r="Q272" s="42">
        <f t="shared" si="101"/>
        <v>85.519683257918558</v>
      </c>
      <c r="R272" s="42">
        <f t="shared" si="102"/>
        <v>0.99095022624434392</v>
      </c>
      <c r="S272" s="22">
        <v>25</v>
      </c>
      <c r="T272" s="23">
        <v>0.29166666666666669</v>
      </c>
      <c r="U272" s="23">
        <v>0.64166666666666672</v>
      </c>
      <c r="V272" s="22"/>
      <c r="W272" s="22"/>
      <c r="X272" s="22"/>
      <c r="Y272" s="22"/>
      <c r="Z272" s="22">
        <v>1</v>
      </c>
      <c r="AA272" s="46">
        <f t="shared" si="91"/>
        <v>5.5250000000000004</v>
      </c>
      <c r="AB272" s="47">
        <f t="shared" si="92"/>
        <v>7.4</v>
      </c>
      <c r="AC272" s="47">
        <f t="shared" si="93"/>
        <v>1.875</v>
      </c>
      <c r="AD272" s="48">
        <f t="shared" si="94"/>
        <v>29.864864864864863</v>
      </c>
      <c r="AE272" s="46">
        <f t="shared" si="95"/>
        <v>102.16</v>
      </c>
      <c r="AF272" s="49">
        <f t="shared" si="96"/>
        <v>0.66063348416289591</v>
      </c>
      <c r="AG272" s="49">
        <f t="shared" si="97"/>
        <v>0.7466216216216216</v>
      </c>
      <c r="AH272" s="71">
        <f t="shared" si="98"/>
        <v>0.48877950348538579</v>
      </c>
    </row>
    <row r="273" spans="1:34" x14ac:dyDescent="0.25">
      <c r="A273" s="22">
        <v>32</v>
      </c>
      <c r="B273" s="24">
        <v>46241</v>
      </c>
      <c r="C273" s="17" t="s">
        <v>38</v>
      </c>
      <c r="D273" s="69"/>
      <c r="E273" s="17" t="s">
        <v>39</v>
      </c>
      <c r="F273" s="40" t="s">
        <v>42</v>
      </c>
      <c r="G273" s="66">
        <v>3394.3500000000004</v>
      </c>
      <c r="H273" s="22">
        <v>2543.6</v>
      </c>
      <c r="I273" s="22">
        <v>15</v>
      </c>
      <c r="J273" s="22">
        <v>0</v>
      </c>
      <c r="K273" s="42"/>
      <c r="L273" s="22"/>
      <c r="M273" s="22"/>
      <c r="N273" s="19" cm="1">
        <f t="array" ref="N273">_xlfn.IFS(E273="MOLINOS CHAMPION S.F",42,E273="PROPALCOL",42,E273="MASTERTEC",42,E273="GANADERIA OVIA",42,E273="ENGORDE",40,E273="DESCARTES",40,E273="REPRODUCTORA",10,E273="BAJO PESO",40,E273="CHICKENCORP",42)</f>
        <v>10</v>
      </c>
      <c r="O273" s="41">
        <f t="shared" si="99"/>
        <v>0.74936291189771231</v>
      </c>
      <c r="P273" s="42">
        <f t="shared" si="100"/>
        <v>226.29000000000002</v>
      </c>
      <c r="Q273" s="42">
        <f t="shared" si="101"/>
        <v>169.57333333333332</v>
      </c>
      <c r="R273" s="42">
        <f t="shared" si="102"/>
        <v>1</v>
      </c>
      <c r="S273" s="22">
        <v>25</v>
      </c>
      <c r="T273" s="23">
        <v>0.65972222222222221</v>
      </c>
      <c r="U273" s="23">
        <v>0.72222222222222221</v>
      </c>
      <c r="V273" s="22"/>
      <c r="W273" s="22"/>
      <c r="X273" s="22"/>
      <c r="Y273" s="22"/>
      <c r="Z273" s="22"/>
      <c r="AA273" s="46">
        <f t="shared" si="91"/>
        <v>1.5</v>
      </c>
      <c r="AB273" s="47">
        <f t="shared" si="92"/>
        <v>1.5</v>
      </c>
      <c r="AC273" s="47">
        <f t="shared" si="93"/>
        <v>0</v>
      </c>
      <c r="AD273" s="48">
        <f t="shared" si="94"/>
        <v>10</v>
      </c>
      <c r="AE273" s="46">
        <f t="shared" si="95"/>
        <v>67.83</v>
      </c>
      <c r="AF273" s="49">
        <f t="shared" si="96"/>
        <v>1</v>
      </c>
      <c r="AG273" s="49">
        <f t="shared" si="97"/>
        <v>1</v>
      </c>
      <c r="AH273" s="71">
        <f t="shared" si="98"/>
        <v>1</v>
      </c>
    </row>
    <row r="274" spans="1:34" x14ac:dyDescent="0.25">
      <c r="A274" s="22">
        <v>32</v>
      </c>
      <c r="B274" s="24">
        <v>46242</v>
      </c>
      <c r="C274" s="52" t="s">
        <v>34</v>
      </c>
      <c r="D274" s="52">
        <v>274</v>
      </c>
      <c r="E274" s="52" t="s">
        <v>37</v>
      </c>
      <c r="F274" s="52" t="s">
        <v>36</v>
      </c>
      <c r="G274" s="66">
        <v>25474.700000000004</v>
      </c>
      <c r="H274" s="22">
        <v>20890.000000000004</v>
      </c>
      <c r="I274" s="22">
        <v>215</v>
      </c>
      <c r="J274" s="22">
        <v>5</v>
      </c>
      <c r="K274" s="42" t="s">
        <v>62</v>
      </c>
      <c r="L274" s="22"/>
      <c r="M274" s="22"/>
      <c r="N274" s="19" cm="1">
        <f t="array" ref="N274">_xlfn.IFS(E274="MOLINOS CHAMPION S.F",42,E274="PROPALCOL",42,E274="MASTERTEC",42,E274="GANADERIA OVIA",42,E274="ENGORDE",40,E274="DESCARTES",40,E274="REPRODUCTORA",10,E274="BAJO PESO",40,E274="CHICKENCORP",42)</f>
        <v>40</v>
      </c>
      <c r="O274" s="41">
        <f t="shared" si="99"/>
        <v>0.82002928395623897</v>
      </c>
      <c r="P274" s="42">
        <f t="shared" si="100"/>
        <v>118.48697674418607</v>
      </c>
      <c r="Q274" s="42">
        <f t="shared" si="101"/>
        <v>97.162790697674438</v>
      </c>
      <c r="R274" s="42">
        <f t="shared" si="102"/>
        <v>0.97674418604651159</v>
      </c>
      <c r="S274" s="22">
        <v>25</v>
      </c>
      <c r="T274" s="23">
        <v>0.29166666666666669</v>
      </c>
      <c r="U274" s="23">
        <v>0.60416666666666663</v>
      </c>
      <c r="V274" s="22"/>
      <c r="W274" s="22"/>
      <c r="X274" s="22"/>
      <c r="Y274" s="22"/>
      <c r="Z274" s="22">
        <v>1</v>
      </c>
      <c r="AA274" s="46">
        <f t="shared" si="91"/>
        <v>5.375</v>
      </c>
      <c r="AB274" s="47">
        <f t="shared" si="92"/>
        <v>6.5</v>
      </c>
      <c r="AC274" s="47">
        <f t="shared" si="93"/>
        <v>1.125</v>
      </c>
      <c r="AD274" s="48">
        <f t="shared" si="94"/>
        <v>33.07692307692308</v>
      </c>
      <c r="AE274" s="46">
        <f t="shared" si="95"/>
        <v>128.55000000000001</v>
      </c>
      <c r="AF274" s="49">
        <f t="shared" si="96"/>
        <v>0.79069767441860461</v>
      </c>
      <c r="AG274" s="49">
        <f t="shared" si="97"/>
        <v>0.82692307692307698</v>
      </c>
      <c r="AH274" s="71">
        <f t="shared" si="98"/>
        <v>0.63864042933810372</v>
      </c>
    </row>
    <row r="275" spans="1:34" x14ac:dyDescent="0.25">
      <c r="A275" s="22">
        <v>33</v>
      </c>
      <c r="B275" s="24">
        <v>46245</v>
      </c>
      <c r="C275" s="1" t="s">
        <v>34</v>
      </c>
      <c r="D275" s="1">
        <v>5470</v>
      </c>
      <c r="E275" s="1" t="s">
        <v>35</v>
      </c>
      <c r="F275" s="31" t="s">
        <v>36</v>
      </c>
      <c r="G275" s="66">
        <v>13382.999999999995</v>
      </c>
      <c r="H275" s="22">
        <v>10142.449999999999</v>
      </c>
      <c r="I275" s="22">
        <v>120</v>
      </c>
      <c r="J275" s="22">
        <v>5</v>
      </c>
      <c r="K275" s="42" t="s">
        <v>62</v>
      </c>
      <c r="L275" s="22"/>
      <c r="M275" s="22"/>
      <c r="N275" s="19" cm="1">
        <f t="array" ref="N275">_xlfn.IFS(E275="MOLINOS CHAMPION S.F",42,E275="PROPALCOL",42,E275="MASTERTEC",42,E275="GANADERIA OVIA",42,E275="ENGORDE",40,E275="DESCARTES",40,E275="REPRODUCTORA",10,E275="BAJO PESO",40,E275="CHICKENCORP",42)</f>
        <v>42</v>
      </c>
      <c r="O275" s="41">
        <f t="shared" si="99"/>
        <v>0.75786071882238681</v>
      </c>
      <c r="P275" s="42">
        <f t="shared" si="100"/>
        <v>111.52499999999995</v>
      </c>
      <c r="Q275" s="42">
        <f t="shared" si="101"/>
        <v>84.520416666666662</v>
      </c>
      <c r="R275" s="42">
        <f t="shared" si="102"/>
        <v>0.95833333333333337</v>
      </c>
      <c r="S275" s="22">
        <v>30</v>
      </c>
      <c r="T275" s="23">
        <v>0.29166666666666669</v>
      </c>
      <c r="U275" s="23">
        <v>0.44930555555555557</v>
      </c>
      <c r="V275" s="22"/>
      <c r="W275" s="22"/>
      <c r="X275" s="22"/>
      <c r="Y275" s="22"/>
      <c r="Z275" s="22"/>
      <c r="AA275" s="46">
        <f t="shared" si="91"/>
        <v>2.8571428571428572</v>
      </c>
      <c r="AB275" s="47">
        <f t="shared" si="92"/>
        <v>3.7833333333333332</v>
      </c>
      <c r="AC275" s="47">
        <f t="shared" si="93"/>
        <v>0.92619047619047601</v>
      </c>
      <c r="AD275" s="48">
        <f t="shared" si="94"/>
        <v>31.718061674008812</v>
      </c>
      <c r="AE275" s="46">
        <f t="shared" si="95"/>
        <v>89.36</v>
      </c>
      <c r="AF275" s="49">
        <f t="shared" si="96"/>
        <v>0.6758333333333334</v>
      </c>
      <c r="AG275" s="49">
        <f t="shared" si="97"/>
        <v>0.75519194461925743</v>
      </c>
      <c r="AH275" s="71">
        <f t="shared" si="98"/>
        <v>0.48911789385357679</v>
      </c>
    </row>
    <row r="276" spans="1:34" x14ac:dyDescent="0.25">
      <c r="A276" s="22">
        <v>33</v>
      </c>
      <c r="B276" s="24">
        <v>46245</v>
      </c>
      <c r="C276" s="22" t="s">
        <v>34</v>
      </c>
      <c r="D276" s="22">
        <v>274</v>
      </c>
      <c r="E276" s="22" t="s">
        <v>37</v>
      </c>
      <c r="F276" s="22" t="s">
        <v>36</v>
      </c>
      <c r="G276" s="66">
        <v>12406.25</v>
      </c>
      <c r="H276" s="22">
        <v>10254.799999999988</v>
      </c>
      <c r="I276" s="22">
        <v>120</v>
      </c>
      <c r="J276" s="22">
        <v>6</v>
      </c>
      <c r="K276" s="42" t="s">
        <v>62</v>
      </c>
      <c r="L276" s="22"/>
      <c r="M276" s="22"/>
      <c r="N276" s="19" cm="1">
        <f t="array" ref="N276">_xlfn.IFS(E276="MOLINOS CHAMPION S.F",42,E276="PROPALCOL",42,E276="MASTERTEC",42,E276="GANADERIA OVIA",42,E276="ENGORDE",40,E276="DESCARTES",40,E276="REPRODUCTORA",10,E276="BAJO PESO",40,E276="CHICKENCORP",42)</f>
        <v>40</v>
      </c>
      <c r="O276" s="41">
        <f t="shared" si="99"/>
        <v>0.82658337531486048</v>
      </c>
      <c r="P276" s="42">
        <f t="shared" si="100"/>
        <v>103.38541666666667</v>
      </c>
      <c r="Q276" s="42">
        <f t="shared" si="101"/>
        <v>85.456666666666564</v>
      </c>
      <c r="R276" s="42">
        <f t="shared" si="102"/>
        <v>0.95</v>
      </c>
      <c r="S276" s="22">
        <v>30</v>
      </c>
      <c r="T276" s="23">
        <v>0.43055555555555558</v>
      </c>
      <c r="U276" s="23">
        <v>0.64236111111111116</v>
      </c>
      <c r="V276" s="23">
        <v>0.63888888888888884</v>
      </c>
      <c r="W276" s="23">
        <v>0.6875</v>
      </c>
      <c r="X276" s="22" t="s">
        <v>83</v>
      </c>
      <c r="Y276" s="22"/>
      <c r="Z276" s="22">
        <v>1</v>
      </c>
      <c r="AA276" s="46">
        <f t="shared" si="91"/>
        <v>3</v>
      </c>
      <c r="AB276" s="47">
        <f t="shared" si="92"/>
        <v>4.083333333333333</v>
      </c>
      <c r="AC276" s="47">
        <f t="shared" si="93"/>
        <v>1.083333333333333</v>
      </c>
      <c r="AD276" s="48">
        <f t="shared" si="94"/>
        <v>29.387755102040817</v>
      </c>
      <c r="AE276" s="46">
        <f t="shared" si="95"/>
        <v>83.71</v>
      </c>
      <c r="AF276" s="49">
        <f t="shared" si="96"/>
        <v>0.63888888888888895</v>
      </c>
      <c r="AG276" s="49">
        <f t="shared" si="97"/>
        <v>0.73469387755102045</v>
      </c>
      <c r="AH276" s="71">
        <f t="shared" si="98"/>
        <v>0.44591836734693885</v>
      </c>
    </row>
    <row r="277" spans="1:34" x14ac:dyDescent="0.25">
      <c r="A277" s="22">
        <v>33</v>
      </c>
      <c r="B277" s="24">
        <v>46246</v>
      </c>
      <c r="C277" s="68" t="s">
        <v>34</v>
      </c>
      <c r="D277" s="68">
        <v>5470</v>
      </c>
      <c r="E277" s="68" t="s">
        <v>35</v>
      </c>
      <c r="F277" s="30" t="s">
        <v>36</v>
      </c>
      <c r="G277" s="66">
        <v>6613.5500000000011</v>
      </c>
      <c r="H277" s="22">
        <v>4950.699999999998</v>
      </c>
      <c r="I277" s="22">
        <v>60</v>
      </c>
      <c r="J277" s="22">
        <v>3</v>
      </c>
      <c r="K277" s="42" t="s">
        <v>62</v>
      </c>
      <c r="L277" s="22"/>
      <c r="M277" s="22"/>
      <c r="N277" s="19" cm="1">
        <f t="array" ref="N277">_xlfn.IFS(E277="MOLINOS CHAMPION S.F",42,E277="PROPALCOL",42,E277="MASTERTEC",42,E277="GANADERIA OVIA",42,E277="ENGORDE",40,E277="DESCARTES",40,E277="REPRODUCTORA",10,E277="BAJO PESO",40,E277="CHICKENCORP",42)</f>
        <v>42</v>
      </c>
      <c r="O277" s="41">
        <f t="shared" si="99"/>
        <v>0.74856922530259806</v>
      </c>
      <c r="P277" s="42">
        <f t="shared" si="100"/>
        <v>110.22583333333336</v>
      </c>
      <c r="Q277" s="42">
        <f t="shared" si="101"/>
        <v>82.511666666666628</v>
      </c>
      <c r="R277" s="42">
        <f t="shared" si="102"/>
        <v>0.95</v>
      </c>
      <c r="S277" s="22">
        <v>28</v>
      </c>
      <c r="T277" s="23">
        <v>0.29166666666666669</v>
      </c>
      <c r="U277" s="23">
        <v>0.36944444444444446</v>
      </c>
      <c r="V277" s="23"/>
      <c r="W277" s="23"/>
      <c r="X277" s="22"/>
      <c r="Y277" s="22"/>
      <c r="Z277" s="22"/>
      <c r="AA277" s="46">
        <f t="shared" si="91"/>
        <v>1.4285714285714286</v>
      </c>
      <c r="AB277" s="47">
        <f t="shared" si="92"/>
        <v>1.8666666666666667</v>
      </c>
      <c r="AC277" s="47">
        <f t="shared" si="93"/>
        <v>0.43809523809523809</v>
      </c>
      <c r="AD277" s="48">
        <f t="shared" si="94"/>
        <v>32.142857142857139</v>
      </c>
      <c r="AE277" s="46">
        <f t="shared" si="95"/>
        <v>94.72</v>
      </c>
      <c r="AF277" s="49">
        <f t="shared" si="96"/>
        <v>0.69333333333333336</v>
      </c>
      <c r="AG277" s="49">
        <f t="shared" si="97"/>
        <v>0.76530612244897944</v>
      </c>
      <c r="AH277" s="71">
        <f t="shared" si="98"/>
        <v>0.50408163265306105</v>
      </c>
    </row>
    <row r="278" spans="1:34" x14ac:dyDescent="0.25">
      <c r="A278" s="22">
        <v>33</v>
      </c>
      <c r="B278" s="24">
        <v>46246</v>
      </c>
      <c r="C278" s="52" t="s">
        <v>34</v>
      </c>
      <c r="D278" s="52">
        <v>274</v>
      </c>
      <c r="E278" s="52" t="s">
        <v>37</v>
      </c>
      <c r="F278" s="52" t="s">
        <v>36</v>
      </c>
      <c r="G278" s="66">
        <v>6988.75</v>
      </c>
      <c r="H278" s="22">
        <v>5594.6499999999978</v>
      </c>
      <c r="I278" s="22">
        <v>70</v>
      </c>
      <c r="J278" s="22">
        <v>1</v>
      </c>
      <c r="K278" s="42" t="s">
        <v>62</v>
      </c>
      <c r="L278" s="22"/>
      <c r="M278" s="22"/>
      <c r="N278" s="19" cm="1">
        <f t="array" ref="N278">_xlfn.IFS(E278="MOLINOS CHAMPION S.F",42,E278="PROPALCOL",42,E278="MASTERTEC",42,E278="GANADERIA OVIA",42,E278="ENGORDE",40,E278="DESCARTES",40,E278="REPRODUCTORA",10,E278="BAJO PESO",40,E278="CHICKENCORP",42)</f>
        <v>40</v>
      </c>
      <c r="O278" s="41">
        <f t="shared" si="99"/>
        <v>0.80052226793060244</v>
      </c>
      <c r="P278" s="42">
        <f t="shared" si="100"/>
        <v>99.839285714285708</v>
      </c>
      <c r="Q278" s="42">
        <f t="shared" si="101"/>
        <v>79.923571428571393</v>
      </c>
      <c r="R278" s="42">
        <f t="shared" si="102"/>
        <v>0.98571428571428577</v>
      </c>
      <c r="S278" s="22">
        <v>28</v>
      </c>
      <c r="T278" s="23">
        <v>0.53125</v>
      </c>
      <c r="U278" s="23">
        <v>0.63888888888888884</v>
      </c>
      <c r="V278" s="23"/>
      <c r="W278" s="23"/>
      <c r="X278" s="22"/>
      <c r="Y278" s="22"/>
      <c r="Z278" s="22"/>
      <c r="AA278" s="46">
        <f t="shared" si="91"/>
        <v>1.75</v>
      </c>
      <c r="AB278" s="47">
        <f t="shared" si="92"/>
        <v>2.5833333333333335</v>
      </c>
      <c r="AC278" s="47">
        <f t="shared" si="93"/>
        <v>0.83333333333333348</v>
      </c>
      <c r="AD278" s="48">
        <f t="shared" si="94"/>
        <v>27.096774193548384</v>
      </c>
      <c r="AE278" s="46">
        <f t="shared" si="95"/>
        <v>77.349999999999994</v>
      </c>
      <c r="AF278" s="49">
        <f t="shared" si="96"/>
        <v>0.52380952380952372</v>
      </c>
      <c r="AG278" s="49">
        <f t="shared" si="97"/>
        <v>0.67741935483870963</v>
      </c>
      <c r="AH278" s="71">
        <f t="shared" si="98"/>
        <v>0.34976958525345619</v>
      </c>
    </row>
    <row r="279" spans="1:34" x14ac:dyDescent="0.25">
      <c r="A279" s="22">
        <v>33</v>
      </c>
      <c r="B279" s="24">
        <v>46246</v>
      </c>
      <c r="C279" s="57" t="s">
        <v>34</v>
      </c>
      <c r="D279" s="57">
        <v>274</v>
      </c>
      <c r="E279" s="57" t="s">
        <v>37</v>
      </c>
      <c r="F279" s="57" t="s">
        <v>36</v>
      </c>
      <c r="G279" s="66">
        <v>14588.7</v>
      </c>
      <c r="H279" s="22">
        <v>12038.350000000004</v>
      </c>
      <c r="I279" s="22">
        <v>120</v>
      </c>
      <c r="J279" s="22">
        <v>6</v>
      </c>
      <c r="K279" s="42" t="s">
        <v>62</v>
      </c>
      <c r="L279" s="22"/>
      <c r="M279" s="22"/>
      <c r="N279" s="19" cm="1">
        <f t="array" ref="N279">_xlfn.IFS(E279="MOLINOS CHAMPION S.F",42,E279="PROPALCOL",42,E279="MASTERTEC",42,E279="GANADERIA OVIA",42,E279="ENGORDE",40,E279="DESCARTES",40,E279="REPRODUCTORA",10,E279="BAJO PESO",40,E279="CHICKENCORP",42)</f>
        <v>40</v>
      </c>
      <c r="O279" s="41">
        <f t="shared" si="99"/>
        <v>0.82518318972903704</v>
      </c>
      <c r="P279" s="42">
        <f t="shared" si="100"/>
        <v>121.57250000000001</v>
      </c>
      <c r="Q279" s="42">
        <f t="shared" si="101"/>
        <v>100.31958333333337</v>
      </c>
      <c r="R279" s="42">
        <f t="shared" si="102"/>
        <v>0.95</v>
      </c>
      <c r="S279" s="22">
        <v>28</v>
      </c>
      <c r="T279" s="23">
        <v>0.35416666666666669</v>
      </c>
      <c r="U279" s="23">
        <v>0.55208333333333337</v>
      </c>
      <c r="V279" s="23"/>
      <c r="W279" s="23"/>
      <c r="X279" s="22"/>
      <c r="Y279" s="22"/>
      <c r="Z279" s="22">
        <v>1</v>
      </c>
      <c r="AA279" s="46">
        <f t="shared" si="91"/>
        <v>3</v>
      </c>
      <c r="AB279" s="47">
        <f t="shared" si="92"/>
        <v>3.75</v>
      </c>
      <c r="AC279" s="47">
        <f t="shared" si="93"/>
        <v>0.75</v>
      </c>
      <c r="AD279" s="48">
        <f t="shared" si="94"/>
        <v>32</v>
      </c>
      <c r="AE279" s="46">
        <f t="shared" si="95"/>
        <v>114.65</v>
      </c>
      <c r="AF279" s="49">
        <f t="shared" si="96"/>
        <v>0.75</v>
      </c>
      <c r="AG279" s="49">
        <f t="shared" si="97"/>
        <v>0.8</v>
      </c>
      <c r="AH279" s="71">
        <f t="shared" si="98"/>
        <v>0.56999999999999995</v>
      </c>
    </row>
    <row r="280" spans="1:34" x14ac:dyDescent="0.25">
      <c r="A280" s="22">
        <v>33</v>
      </c>
      <c r="B280" s="24">
        <v>46247</v>
      </c>
      <c r="C280" s="57" t="s">
        <v>34</v>
      </c>
      <c r="D280" s="57">
        <v>274</v>
      </c>
      <c r="E280" s="57" t="s">
        <v>37</v>
      </c>
      <c r="F280" s="57" t="s">
        <v>36</v>
      </c>
      <c r="G280" s="66">
        <v>27093.199999999997</v>
      </c>
      <c r="H280" s="22">
        <v>21961.149999999991</v>
      </c>
      <c r="I280" s="22">
        <v>243</v>
      </c>
      <c r="J280" s="22">
        <v>7</v>
      </c>
      <c r="K280" s="42" t="s">
        <v>62</v>
      </c>
      <c r="L280" s="22"/>
      <c r="M280" s="22"/>
      <c r="N280" s="19" cm="1">
        <f t="array" ref="N280">_xlfn.IFS(E280="MOLINOS CHAMPION S.F",42,E280="PROPALCOL",42,E280="MASTERTEC",42,E280="GANADERIA OVIA",42,E280="ENGORDE",40,E280="DESCARTES",40,E280="REPRODUCTORA",10,E280="BAJO PESO",40,E280="CHICKENCORP",42)</f>
        <v>40</v>
      </c>
      <c r="O280" s="41">
        <f t="shared" si="99"/>
        <v>0.81057793099375464</v>
      </c>
      <c r="P280" s="42">
        <f t="shared" si="100"/>
        <v>111.4946502057613</v>
      </c>
      <c r="Q280" s="42">
        <f t="shared" si="101"/>
        <v>90.375102880658403</v>
      </c>
      <c r="R280" s="42">
        <f t="shared" si="102"/>
        <v>0.9711934156378601</v>
      </c>
      <c r="S280" s="22">
        <v>27</v>
      </c>
      <c r="T280" s="23"/>
      <c r="U280" s="23">
        <v>0.63194444444444442</v>
      </c>
      <c r="V280" s="23"/>
      <c r="W280" s="23"/>
      <c r="X280" s="22"/>
      <c r="Y280" s="22"/>
      <c r="Z280" s="22">
        <v>1</v>
      </c>
      <c r="AA280" s="46">
        <f t="shared" si="91"/>
        <v>6.0750000000000002</v>
      </c>
      <c r="AB280" s="47">
        <f t="shared" si="92"/>
        <v>14.166666666666666</v>
      </c>
      <c r="AC280" s="47">
        <f t="shared" si="93"/>
        <v>8.091666666666665</v>
      </c>
      <c r="AD280" s="48">
        <f t="shared" si="94"/>
        <v>17.152941176470588</v>
      </c>
      <c r="AE280" s="46">
        <f t="shared" si="95"/>
        <v>57.41</v>
      </c>
      <c r="AF280" s="49">
        <f t="shared" si="96"/>
        <v>0</v>
      </c>
      <c r="AG280" s="49">
        <f t="shared" si="97"/>
        <v>0.42882352941176471</v>
      </c>
      <c r="AH280" s="71">
        <f t="shared" si="98"/>
        <v>0</v>
      </c>
    </row>
    <row r="281" spans="1:34" x14ac:dyDescent="0.25">
      <c r="A281" s="22">
        <v>33</v>
      </c>
      <c r="B281" s="24">
        <v>46248</v>
      </c>
      <c r="C281" s="57" t="s">
        <v>34</v>
      </c>
      <c r="D281" s="57">
        <v>274</v>
      </c>
      <c r="E281" s="57" t="s">
        <v>37</v>
      </c>
      <c r="F281" s="57" t="s">
        <v>36</v>
      </c>
      <c r="G281" s="66">
        <v>22254.000000000007</v>
      </c>
      <c r="H281" s="22">
        <v>18225.649999999994</v>
      </c>
      <c r="I281" s="22">
        <v>182</v>
      </c>
      <c r="J281" s="22">
        <v>6</v>
      </c>
      <c r="K281" s="42" t="s">
        <v>62</v>
      </c>
      <c r="L281" s="22"/>
      <c r="M281" s="22"/>
      <c r="N281" s="19" cm="1">
        <f t="array" ref="N281">_xlfn.IFS(E281="MOLINOS CHAMPION S.F",42,E281="PROPALCOL",42,E281="MASTERTEC",42,E281="GANADERIA OVIA",42,E281="ENGORDE",40,E281="DESCARTES",40,E281="REPRODUCTORA",10,E281="BAJO PESO",40,E281="CHICKENCORP",42)</f>
        <v>40</v>
      </c>
      <c r="O281" s="41">
        <f t="shared" si="99"/>
        <v>0.81898310416104914</v>
      </c>
      <c r="P281" s="42">
        <f t="shared" si="100"/>
        <v>122.27472527472531</v>
      </c>
      <c r="Q281" s="42">
        <f t="shared" si="101"/>
        <v>100.14093406593403</v>
      </c>
      <c r="R281" s="42">
        <f t="shared" si="102"/>
        <v>0.96703296703296704</v>
      </c>
      <c r="S281" s="22">
        <v>30</v>
      </c>
      <c r="T281" s="23">
        <v>0.30555555555555558</v>
      </c>
      <c r="U281" s="23">
        <v>0.57986111111111116</v>
      </c>
      <c r="V281" s="23"/>
      <c r="W281" s="23"/>
      <c r="X281" s="22"/>
      <c r="Y281" s="22"/>
      <c r="Z281" s="22">
        <v>1</v>
      </c>
      <c r="AA281" s="46">
        <f t="shared" si="91"/>
        <v>4.55</v>
      </c>
      <c r="AB281" s="47">
        <f t="shared" si="92"/>
        <v>5.583333333333333</v>
      </c>
      <c r="AC281" s="47">
        <f t="shared" si="93"/>
        <v>1.0333333333333332</v>
      </c>
      <c r="AD281" s="48">
        <f t="shared" si="94"/>
        <v>32.597014925373138</v>
      </c>
      <c r="AE281" s="46">
        <f t="shared" si="95"/>
        <v>108.81</v>
      </c>
      <c r="AF281" s="49">
        <f t="shared" si="96"/>
        <v>0.77289377289377292</v>
      </c>
      <c r="AG281" s="49">
        <f t="shared" si="97"/>
        <v>0.81492537313432845</v>
      </c>
      <c r="AH281" s="71">
        <f t="shared" si="98"/>
        <v>0.60908643595210776</v>
      </c>
    </row>
    <row r="282" spans="1:34" x14ac:dyDescent="0.25">
      <c r="A282" s="22">
        <v>33</v>
      </c>
      <c r="B282" s="24">
        <v>46248</v>
      </c>
      <c r="C282" s="17" t="s">
        <v>38</v>
      </c>
      <c r="D282" s="69"/>
      <c r="E282" s="17" t="s">
        <v>39</v>
      </c>
      <c r="F282" s="40" t="s">
        <v>42</v>
      </c>
      <c r="G282" s="66">
        <v>3137.05</v>
      </c>
      <c r="H282" s="22">
        <v>2280.75</v>
      </c>
      <c r="I282" s="22">
        <v>14</v>
      </c>
      <c r="J282" s="22"/>
      <c r="K282" s="42"/>
      <c r="L282" s="22"/>
      <c r="M282" s="22"/>
      <c r="N282" s="19" cm="1">
        <f t="array" ref="N282">_xlfn.IFS(E282="MOLINOS CHAMPION S.F",42,E282="PROPALCOL",42,E282="MASTERTEC",42,E282="GANADERIA OVIA",42,E282="ENGORDE",40,E282="DESCARTES",40,E282="REPRODUCTORA",10,E282="BAJO PESO",40,E282="CHICKENCORP",42)</f>
        <v>10</v>
      </c>
      <c r="O282" s="41">
        <f t="shared" si="99"/>
        <v>0.72703654707448073</v>
      </c>
      <c r="P282" s="42">
        <f t="shared" si="100"/>
        <v>224.07500000000002</v>
      </c>
      <c r="Q282" s="42">
        <f t="shared" si="101"/>
        <v>162.91071428571428</v>
      </c>
      <c r="R282" s="42">
        <f t="shared" si="102"/>
        <v>1</v>
      </c>
      <c r="S282" s="22">
        <v>30</v>
      </c>
      <c r="T282" s="23">
        <v>0.58333333333333337</v>
      </c>
      <c r="U282" s="23">
        <v>0.63541666666666663</v>
      </c>
      <c r="V282" s="23"/>
      <c r="W282" s="23"/>
      <c r="X282" s="22"/>
      <c r="Y282" s="22"/>
      <c r="Z282" s="22"/>
      <c r="AA282" s="46">
        <f t="shared" si="91"/>
        <v>1.4</v>
      </c>
      <c r="AB282" s="47">
        <f t="shared" si="92"/>
        <v>1.25</v>
      </c>
      <c r="AC282" s="47">
        <f t="shared" si="93"/>
        <v>0</v>
      </c>
      <c r="AD282" s="48">
        <f t="shared" si="94"/>
        <v>11.2</v>
      </c>
      <c r="AE282" s="46">
        <f t="shared" si="95"/>
        <v>60.82</v>
      </c>
      <c r="AF282" s="49">
        <f t="shared" si="96"/>
        <v>1</v>
      </c>
      <c r="AG282" s="49">
        <f t="shared" si="97"/>
        <v>1</v>
      </c>
      <c r="AH282" s="71">
        <f t="shared" si="98"/>
        <v>1</v>
      </c>
    </row>
    <row r="283" spans="1:34" x14ac:dyDescent="0.25">
      <c r="A283" s="22">
        <v>33</v>
      </c>
      <c r="B283" s="63">
        <v>46249</v>
      </c>
      <c r="C283" s="57" t="s">
        <v>34</v>
      </c>
      <c r="D283" s="57">
        <v>274</v>
      </c>
      <c r="E283" s="57" t="s">
        <v>37</v>
      </c>
      <c r="F283" s="57" t="s">
        <v>36</v>
      </c>
      <c r="G283" s="67">
        <v>28736.100000000002</v>
      </c>
      <c r="H283" s="42">
        <v>23652.350000000002</v>
      </c>
      <c r="I283" s="22">
        <v>241</v>
      </c>
      <c r="J283" s="22">
        <v>9</v>
      </c>
      <c r="K283" s="42" t="s">
        <v>62</v>
      </c>
      <c r="L283" s="22"/>
      <c r="M283" s="22"/>
      <c r="N283" s="19" cm="1">
        <f t="array" ref="N283">_xlfn.IFS(E283="MOLINOS CHAMPION S.F",42,E283="PROPALCOL",42,E283="MASTERTEC",42,E283="GANADERIA OVIA",42,E283="ENGORDE",40,E283="DESCARTES",40,E283="REPRODUCTORA",10,E283="BAJO PESO",40,E283="CHICKENCORP",42)</f>
        <v>40</v>
      </c>
      <c r="O283" s="41">
        <f t="shared" si="99"/>
        <v>0.82308838012117169</v>
      </c>
      <c r="P283" s="42">
        <f t="shared" si="100"/>
        <v>119.23692946058092</v>
      </c>
      <c r="Q283" s="42">
        <f t="shared" si="101"/>
        <v>98.142531120331952</v>
      </c>
      <c r="R283" s="42">
        <f t="shared" si="102"/>
        <v>0.96265560165975106</v>
      </c>
      <c r="S283" s="22">
        <v>29</v>
      </c>
      <c r="T283" s="23">
        <v>0.2951388888888889</v>
      </c>
      <c r="U283" s="23">
        <v>0.60347222222222219</v>
      </c>
      <c r="V283" s="23"/>
      <c r="W283" s="23"/>
      <c r="X283" s="22"/>
      <c r="Y283" s="22"/>
      <c r="Z283" s="22">
        <v>1</v>
      </c>
      <c r="AA283" s="46">
        <f t="shared" si="91"/>
        <v>6.0250000000000004</v>
      </c>
      <c r="AB283" s="47">
        <f t="shared" si="92"/>
        <v>6.4</v>
      </c>
      <c r="AC283" s="47">
        <f t="shared" si="93"/>
        <v>0.375</v>
      </c>
      <c r="AD283" s="48">
        <f t="shared" si="94"/>
        <v>37.65625</v>
      </c>
      <c r="AE283" s="46">
        <f t="shared" si="95"/>
        <v>127.44</v>
      </c>
      <c r="AF283" s="49">
        <f t="shared" si="96"/>
        <v>0.93775933609958506</v>
      </c>
      <c r="AG283" s="49">
        <f t="shared" si="97"/>
        <v>0.94140625</v>
      </c>
      <c r="AH283" s="71">
        <f t="shared" si="98"/>
        <v>0.84984439834024894</v>
      </c>
    </row>
    <row r="284" spans="1:34" x14ac:dyDescent="0.25">
      <c r="A284" s="22">
        <v>34</v>
      </c>
      <c r="B284" s="24">
        <v>46251</v>
      </c>
      <c r="C284" s="1" t="s">
        <v>34</v>
      </c>
      <c r="D284" s="1">
        <v>5470</v>
      </c>
      <c r="E284" s="1" t="s">
        <v>35</v>
      </c>
      <c r="F284" s="31" t="s">
        <v>36</v>
      </c>
      <c r="G284" s="22">
        <v>6734.3000000000038</v>
      </c>
      <c r="H284" s="22">
        <v>5144.9999999999991</v>
      </c>
      <c r="I284" s="22">
        <v>60</v>
      </c>
      <c r="J284" s="22">
        <v>3</v>
      </c>
      <c r="K284" s="42" t="s">
        <v>62</v>
      </c>
      <c r="L284" s="22"/>
      <c r="M284" s="22"/>
      <c r="N284" s="19" cm="1">
        <f t="array" ref="N284">_xlfn.IFS(E284="MOLINOS CHAMPION S.F",42,E284="PROPALCOL",42,E284="MASTERTEC",42,E284="GANADERIA OVIA",42,E284="ENGORDE",40,E284="DESCARTES",40,E284="REPRODUCTORA",10,E284="BAJO PESO",40,E284="CHICKENCORP",42)</f>
        <v>42</v>
      </c>
      <c r="O284" s="41">
        <f t="shared" si="99"/>
        <v>0.76399922783362728</v>
      </c>
      <c r="P284" s="42">
        <f t="shared" si="100"/>
        <v>112.2383333333334</v>
      </c>
      <c r="Q284" s="42">
        <f t="shared" si="101"/>
        <v>85.749999999999986</v>
      </c>
      <c r="R284" s="42">
        <f t="shared" si="102"/>
        <v>0.95</v>
      </c>
      <c r="S284" s="22">
        <v>27</v>
      </c>
      <c r="T284" s="23">
        <v>0.33333333333333331</v>
      </c>
      <c r="U284" s="23">
        <v>0.41666666666666669</v>
      </c>
      <c r="V284" s="23"/>
      <c r="W284" s="23"/>
      <c r="X284" s="22"/>
      <c r="Y284" s="22"/>
      <c r="Z284" s="22"/>
      <c r="AA284" s="46">
        <f t="shared" si="91"/>
        <v>1.4285714285714286</v>
      </c>
      <c r="AB284" s="47">
        <f t="shared" si="92"/>
        <v>2</v>
      </c>
      <c r="AC284" s="47">
        <f t="shared" si="93"/>
        <v>0.5714285714285714</v>
      </c>
      <c r="AD284" s="48">
        <f t="shared" si="94"/>
        <v>30</v>
      </c>
      <c r="AE284" s="46">
        <f t="shared" si="95"/>
        <v>95.28</v>
      </c>
      <c r="AF284" s="49">
        <f t="shared" si="96"/>
        <v>0.6</v>
      </c>
      <c r="AG284" s="49">
        <f t="shared" si="97"/>
        <v>0.7142857142857143</v>
      </c>
      <c r="AH284" s="71">
        <f t="shared" si="98"/>
        <v>0.40714285714285714</v>
      </c>
    </row>
    <row r="285" spans="1:34" x14ac:dyDescent="0.25">
      <c r="A285" s="22">
        <v>34</v>
      </c>
      <c r="B285" s="24">
        <v>46251</v>
      </c>
      <c r="C285" s="22" t="s">
        <v>34</v>
      </c>
      <c r="D285" s="22">
        <v>274</v>
      </c>
      <c r="E285" s="22" t="s">
        <v>37</v>
      </c>
      <c r="F285" s="22" t="s">
        <v>36</v>
      </c>
      <c r="G285" s="22">
        <v>22746.250000000004</v>
      </c>
      <c r="H285" s="22">
        <v>18627.599999999988</v>
      </c>
      <c r="I285" s="22">
        <v>210</v>
      </c>
      <c r="J285" s="22">
        <v>7</v>
      </c>
      <c r="K285" s="42" t="s">
        <v>62</v>
      </c>
      <c r="L285" s="22"/>
      <c r="M285" s="22"/>
      <c r="N285" s="19" cm="1">
        <f t="array" ref="N285">_xlfn.IFS(E285="MOLINOS CHAMPION S.F",42,E285="PROPALCOL",42,E285="MASTERTEC",42,E285="GANADERIA OVIA",42,E285="ENGORDE",40,E285="DESCARTES",40,E285="REPRODUCTORA",10,E285="BAJO PESO",40,E285="CHICKENCORP",42)</f>
        <v>40</v>
      </c>
      <c r="O285" s="41">
        <f t="shared" si="99"/>
        <v>0.81893059295488202</v>
      </c>
      <c r="P285" s="42">
        <f t="shared" si="100"/>
        <v>108.3154761904762</v>
      </c>
      <c r="Q285" s="42">
        <f t="shared" si="101"/>
        <v>88.702857142857084</v>
      </c>
      <c r="R285" s="42">
        <f t="shared" si="102"/>
        <v>0.96666666666666667</v>
      </c>
      <c r="S285" s="22">
        <v>27</v>
      </c>
      <c r="T285" s="23">
        <v>0.39930555555555558</v>
      </c>
      <c r="U285" s="23">
        <v>0.68055555555555558</v>
      </c>
      <c r="V285" s="23"/>
      <c r="W285" s="23"/>
      <c r="X285" s="22"/>
      <c r="Y285" s="22"/>
      <c r="Z285" s="22">
        <v>1</v>
      </c>
      <c r="AA285" s="46">
        <f t="shared" si="91"/>
        <v>5.25</v>
      </c>
      <c r="AB285" s="47">
        <f t="shared" si="92"/>
        <v>5.75</v>
      </c>
      <c r="AC285" s="47">
        <f t="shared" si="93"/>
        <v>0.5</v>
      </c>
      <c r="AD285" s="48">
        <f t="shared" si="94"/>
        <v>36.521739130434781</v>
      </c>
      <c r="AE285" s="46">
        <f t="shared" si="95"/>
        <v>119.98</v>
      </c>
      <c r="AF285" s="49">
        <f t="shared" si="96"/>
        <v>0.90476190476190477</v>
      </c>
      <c r="AG285" s="49">
        <f t="shared" si="97"/>
        <v>0.91304347826086951</v>
      </c>
      <c r="AH285" s="71">
        <f t="shared" si="98"/>
        <v>0.79855072463768106</v>
      </c>
    </row>
    <row r="286" spans="1:34" x14ac:dyDescent="0.25">
      <c r="A286" s="22">
        <v>34</v>
      </c>
      <c r="B286" s="24">
        <v>46252</v>
      </c>
      <c r="C286" s="1" t="s">
        <v>34</v>
      </c>
      <c r="D286" s="1">
        <v>5470</v>
      </c>
      <c r="E286" s="1" t="s">
        <v>35</v>
      </c>
      <c r="F286" s="31" t="s">
        <v>36</v>
      </c>
      <c r="G286" s="22">
        <v>6919.8500000000013</v>
      </c>
      <c r="H286" s="22">
        <v>5208.5499999999984</v>
      </c>
      <c r="I286" s="22">
        <v>60</v>
      </c>
      <c r="J286" s="22">
        <v>1</v>
      </c>
      <c r="K286" s="42" t="s">
        <v>62</v>
      </c>
      <c r="L286" s="22"/>
      <c r="M286" s="22"/>
      <c r="N286" s="19" cm="1">
        <f t="array" ref="N286">_xlfn.IFS(E286="MOLINOS CHAMPION S.F",42,E286="PROPALCOL",42,E286="MASTERTEC",42,E286="GANADERIA OVIA",42,E286="ENGORDE",40,E286="DESCARTES",40,E286="REPRODUCTORA",10,E286="BAJO PESO",40,E286="CHICKENCORP",42)</f>
        <v>42</v>
      </c>
      <c r="O286" s="41">
        <f t="shared" si="99"/>
        <v>0.75269695152351535</v>
      </c>
      <c r="P286" s="42">
        <f t="shared" si="100"/>
        <v>115.33083333333336</v>
      </c>
      <c r="Q286" s="42">
        <f t="shared" si="101"/>
        <v>86.809166666666641</v>
      </c>
      <c r="R286" s="42">
        <f t="shared" si="102"/>
        <v>0.98333333333333328</v>
      </c>
      <c r="S286" s="22">
        <v>34</v>
      </c>
      <c r="T286" s="23">
        <v>0.33333333333333331</v>
      </c>
      <c r="U286" s="23">
        <v>0.4152777777777778</v>
      </c>
      <c r="V286" s="23"/>
      <c r="W286" s="23"/>
      <c r="X286" s="22"/>
      <c r="Y286" s="22"/>
      <c r="Z286" s="22"/>
      <c r="AA286" s="46">
        <f t="shared" si="91"/>
        <v>1.4285714285714286</v>
      </c>
      <c r="AB286" s="47">
        <f t="shared" si="92"/>
        <v>1.9666666666666668</v>
      </c>
      <c r="AC286" s="47">
        <f t="shared" si="93"/>
        <v>0.53809523809523818</v>
      </c>
      <c r="AD286" s="48">
        <f t="shared" si="94"/>
        <v>30.508474576271183</v>
      </c>
      <c r="AE286" s="46">
        <f t="shared" si="95"/>
        <v>77.89</v>
      </c>
      <c r="AF286" s="49">
        <f t="shared" si="96"/>
        <v>0.62333333333333329</v>
      </c>
      <c r="AG286" s="49">
        <f t="shared" si="97"/>
        <v>0.72639225181598055</v>
      </c>
      <c r="AH286" s="71">
        <f t="shared" si="98"/>
        <v>0.44523809523809516</v>
      </c>
    </row>
    <row r="287" spans="1:34" x14ac:dyDescent="0.25">
      <c r="A287" s="22">
        <v>34</v>
      </c>
      <c r="B287" s="24">
        <v>46252</v>
      </c>
      <c r="C287" s="22" t="s">
        <v>34</v>
      </c>
      <c r="D287" s="22">
        <v>274</v>
      </c>
      <c r="E287" s="22" t="s">
        <v>37</v>
      </c>
      <c r="F287" s="22" t="s">
        <v>36</v>
      </c>
      <c r="G287" s="22">
        <v>19313.450000000004</v>
      </c>
      <c r="H287" s="22">
        <v>15831.649999999998</v>
      </c>
      <c r="I287" s="22">
        <v>190</v>
      </c>
      <c r="J287" s="22">
        <v>3</v>
      </c>
      <c r="K287" s="42" t="s">
        <v>62</v>
      </c>
      <c r="L287" s="22"/>
      <c r="M287" s="22"/>
      <c r="N287" s="19" cm="1">
        <f t="array" ref="N287">_xlfn.IFS(E287="MOLINOS CHAMPION S.F",42,E287="PROPALCOL",42,E287="MASTERTEC",42,E287="GANADERIA OVIA",42,E287="ENGORDE",40,E287="DESCARTES",40,E287="REPRODUCTORA",10,E287="BAJO PESO",40,E287="CHICKENCORP",42)</f>
        <v>40</v>
      </c>
      <c r="O287" s="41">
        <f t="shared" si="99"/>
        <v>0.81972148942835144</v>
      </c>
      <c r="P287" s="42">
        <f t="shared" si="100"/>
        <v>101.64973684210528</v>
      </c>
      <c r="Q287" s="42">
        <f t="shared" si="101"/>
        <v>83.324473684210517</v>
      </c>
      <c r="R287" s="42">
        <f t="shared" si="102"/>
        <v>0.98421052631578942</v>
      </c>
      <c r="S287" s="22">
        <v>34</v>
      </c>
      <c r="T287" s="23">
        <v>0.39930555555555558</v>
      </c>
      <c r="U287" s="23">
        <v>0.62847222222222221</v>
      </c>
      <c r="V287" s="23"/>
      <c r="W287" s="23"/>
      <c r="X287" s="22"/>
      <c r="Y287" s="22"/>
      <c r="Z287" s="22">
        <v>1</v>
      </c>
      <c r="AA287" s="46">
        <f t="shared" si="91"/>
        <v>4.75</v>
      </c>
      <c r="AB287" s="47">
        <f t="shared" si="92"/>
        <v>4.5</v>
      </c>
      <c r="AC287" s="47">
        <f t="shared" si="93"/>
        <v>0</v>
      </c>
      <c r="AD287" s="48">
        <f t="shared" si="94"/>
        <v>42.222222222222221</v>
      </c>
      <c r="AE287" s="46">
        <f t="shared" si="95"/>
        <v>103.47</v>
      </c>
      <c r="AF287" s="49">
        <f t="shared" si="96"/>
        <v>1</v>
      </c>
      <c r="AG287" s="49">
        <f t="shared" si="97"/>
        <v>1</v>
      </c>
      <c r="AH287" s="71">
        <f t="shared" si="98"/>
        <v>0.98421052631578942</v>
      </c>
    </row>
    <row r="288" spans="1:34" x14ac:dyDescent="0.25">
      <c r="A288" s="22">
        <v>34</v>
      </c>
      <c r="B288" s="24">
        <v>46253</v>
      </c>
      <c r="C288" s="1" t="s">
        <v>34</v>
      </c>
      <c r="D288" s="1">
        <v>5470</v>
      </c>
      <c r="E288" s="1" t="s">
        <v>35</v>
      </c>
      <c r="F288" s="31" t="s">
        <v>36</v>
      </c>
      <c r="G288" s="22">
        <v>6616.8000000000011</v>
      </c>
      <c r="H288" s="22">
        <v>4905.6499999999996</v>
      </c>
      <c r="I288" s="22">
        <v>60</v>
      </c>
      <c r="J288" s="22">
        <v>0</v>
      </c>
      <c r="K288" s="42"/>
      <c r="L288" s="22"/>
      <c r="M288" s="22"/>
      <c r="N288" s="19" cm="1">
        <f t="array" ref="N288">_xlfn.IFS(E288="MOLINOS CHAMPION S.F",42,E288="PROPALCOL",42,E288="MASTERTEC",42,E288="GANADERIA OVIA",42,E288="ENGORDE",40,E288="DESCARTES",40,E288="REPRODUCTORA",10,E288="BAJO PESO",40,E288="CHICKENCORP",42)</f>
        <v>42</v>
      </c>
      <c r="O288" s="41">
        <f t="shared" si="99"/>
        <v>0.74139312054165141</v>
      </c>
      <c r="P288" s="42">
        <f t="shared" si="100"/>
        <v>110.28000000000002</v>
      </c>
      <c r="Q288" s="42">
        <f t="shared" si="101"/>
        <v>81.760833333333323</v>
      </c>
      <c r="R288" s="42">
        <f t="shared" si="102"/>
        <v>1</v>
      </c>
      <c r="S288" s="22">
        <v>37</v>
      </c>
      <c r="T288" s="23">
        <v>0.33333333333333331</v>
      </c>
      <c r="U288" s="23">
        <v>0.40625</v>
      </c>
      <c r="V288" s="23"/>
      <c r="W288" s="23"/>
      <c r="X288" s="22"/>
      <c r="Y288" s="22"/>
      <c r="Z288" s="22"/>
      <c r="AA288" s="46">
        <f t="shared" si="91"/>
        <v>1.4285714285714286</v>
      </c>
      <c r="AB288" s="47">
        <f t="shared" si="92"/>
        <v>1.75</v>
      </c>
      <c r="AC288" s="47">
        <f t="shared" si="93"/>
        <v>0.3214285714285714</v>
      </c>
      <c r="AD288" s="48">
        <f t="shared" si="94"/>
        <v>34.285714285714285</v>
      </c>
      <c r="AE288" s="46">
        <f t="shared" si="95"/>
        <v>75.760000000000005</v>
      </c>
      <c r="AF288" s="49">
        <f t="shared" si="96"/>
        <v>0.77500000000000002</v>
      </c>
      <c r="AG288" s="49">
        <f t="shared" si="97"/>
        <v>0.81632653061224492</v>
      </c>
      <c r="AH288" s="71">
        <f t="shared" si="98"/>
        <v>0.63265306122448983</v>
      </c>
    </row>
    <row r="289" spans="1:34" x14ac:dyDescent="0.25">
      <c r="A289" s="22">
        <v>34</v>
      </c>
      <c r="B289" s="24">
        <v>46253</v>
      </c>
      <c r="C289" s="22" t="s">
        <v>34</v>
      </c>
      <c r="D289" s="22">
        <v>274</v>
      </c>
      <c r="E289" s="22" t="s">
        <v>37</v>
      </c>
      <c r="F289" s="22" t="s">
        <v>36</v>
      </c>
      <c r="G289" s="22">
        <v>12851.099999999999</v>
      </c>
      <c r="H289" s="22">
        <v>10488.999999999998</v>
      </c>
      <c r="I289" s="22">
        <v>123</v>
      </c>
      <c r="J289" s="22">
        <v>1</v>
      </c>
      <c r="K289" s="42" t="s">
        <v>62</v>
      </c>
      <c r="L289" s="22"/>
      <c r="M289" s="22"/>
      <c r="N289" s="19" cm="1">
        <f t="array" ref="N289">_xlfn.IFS(E289="MOLINOS CHAMPION S.F",42,E289="PROPALCOL",42,E289="MASTERTEC",42,E289="GANADERIA OVIA",42,E289="ENGORDE",40,E289="DESCARTES",40,E289="REPRODUCTORA",10,E289="BAJO PESO",40,E289="CHICKENCORP",42)</f>
        <v>40</v>
      </c>
      <c r="O289" s="41">
        <f t="shared" si="99"/>
        <v>0.81619472263074755</v>
      </c>
      <c r="P289" s="42">
        <f t="shared" si="100"/>
        <v>104.48048780487804</v>
      </c>
      <c r="Q289" s="42">
        <f t="shared" si="101"/>
        <v>85.276422764227632</v>
      </c>
      <c r="R289" s="42">
        <f t="shared" si="102"/>
        <v>0.99186991869918695</v>
      </c>
      <c r="S289" s="22">
        <v>37</v>
      </c>
      <c r="T289" s="23">
        <v>0.39097222222222222</v>
      </c>
      <c r="U289" s="23">
        <v>0.57291666666666663</v>
      </c>
      <c r="V289" s="23"/>
      <c r="W289" s="23"/>
      <c r="X289" s="22"/>
      <c r="Y289" s="22"/>
      <c r="Z289" s="22">
        <v>1</v>
      </c>
      <c r="AA289" s="46">
        <f t="shared" si="91"/>
        <v>3.0750000000000002</v>
      </c>
      <c r="AB289" s="47">
        <f t="shared" si="92"/>
        <v>3.3666666666666663</v>
      </c>
      <c r="AC289" s="47">
        <f t="shared" si="93"/>
        <v>0.29166666666666607</v>
      </c>
      <c r="AD289" s="48">
        <f t="shared" si="94"/>
        <v>36.534653465346537</v>
      </c>
      <c r="AE289" s="46">
        <f t="shared" si="95"/>
        <v>84.2</v>
      </c>
      <c r="AF289" s="49">
        <f t="shared" si="96"/>
        <v>0.90514905149051506</v>
      </c>
      <c r="AG289" s="49">
        <f t="shared" si="97"/>
        <v>0.9133663366336634</v>
      </c>
      <c r="AH289" s="71">
        <f t="shared" si="98"/>
        <v>0.82001126941962499</v>
      </c>
    </row>
    <row r="290" spans="1:34" x14ac:dyDescent="0.25">
      <c r="A290" s="22">
        <v>34</v>
      </c>
      <c r="B290" s="24">
        <v>46256</v>
      </c>
      <c r="C290" s="22" t="s">
        <v>34</v>
      </c>
      <c r="D290" s="22">
        <v>274</v>
      </c>
      <c r="E290" s="22" t="s">
        <v>37</v>
      </c>
      <c r="F290" s="22" t="s">
        <v>36</v>
      </c>
      <c r="G290" s="22">
        <v>29602.050000000003</v>
      </c>
      <c r="H290" s="22">
        <v>24318.099999999991</v>
      </c>
      <c r="I290" s="22">
        <v>244</v>
      </c>
      <c r="J290" s="22">
        <v>1</v>
      </c>
      <c r="K290" s="42" t="s">
        <v>62</v>
      </c>
      <c r="L290" s="22"/>
      <c r="M290" s="22"/>
      <c r="N290" s="19" cm="1">
        <f t="array" ref="N290">_xlfn.IFS(E290="MOLINOS CHAMPION S.F",42,E290="PROPALCOL",42,E290="MASTERTEC",42,E290="GANADERIA OVIA",42,E290="ENGORDE",40,E290="DESCARTES",40,E290="REPRODUCTORA",10,E290="BAJO PESO",40,E290="CHICKENCORP",42)</f>
        <v>40</v>
      </c>
      <c r="O290" s="41">
        <f t="shared" si="99"/>
        <v>0.8215005379694984</v>
      </c>
      <c r="P290" s="42">
        <f t="shared" si="100"/>
        <v>121.31987704918033</v>
      </c>
      <c r="Q290" s="42">
        <f t="shared" si="101"/>
        <v>99.664344262295046</v>
      </c>
      <c r="R290" s="42">
        <f t="shared" si="102"/>
        <v>0.99590163934426235</v>
      </c>
      <c r="S290" s="22">
        <v>28</v>
      </c>
      <c r="T290" s="23">
        <v>0.25</v>
      </c>
      <c r="U290" s="23">
        <v>0.58750000000000002</v>
      </c>
      <c r="V290" s="23"/>
      <c r="W290" s="23"/>
      <c r="X290" s="22"/>
      <c r="Y290" s="22"/>
      <c r="Z290" s="22">
        <v>1</v>
      </c>
      <c r="AA290" s="46">
        <f t="shared" si="91"/>
        <v>6.1</v>
      </c>
      <c r="AB290" s="47">
        <f t="shared" si="92"/>
        <v>7.1</v>
      </c>
      <c r="AC290" s="47">
        <f t="shared" si="93"/>
        <v>1</v>
      </c>
      <c r="AD290" s="48">
        <f t="shared" si="94"/>
        <v>34.366197183098592</v>
      </c>
      <c r="AE290" s="46">
        <f t="shared" si="95"/>
        <v>122.32</v>
      </c>
      <c r="AF290" s="49">
        <f t="shared" si="96"/>
        <v>0.83606557377049184</v>
      </c>
      <c r="AG290" s="49">
        <f t="shared" si="97"/>
        <v>0.85915492957746475</v>
      </c>
      <c r="AH290" s="71">
        <f t="shared" si="98"/>
        <v>0.71536596628954063</v>
      </c>
    </row>
    <row r="291" spans="1:34" x14ac:dyDescent="0.25">
      <c r="A291" s="22">
        <v>34</v>
      </c>
      <c r="B291" s="24">
        <v>46256</v>
      </c>
      <c r="C291" s="17" t="s">
        <v>38</v>
      </c>
      <c r="D291" s="69"/>
      <c r="E291" s="17" t="s">
        <v>39</v>
      </c>
      <c r="F291" s="40" t="s">
        <v>42</v>
      </c>
      <c r="G291" s="22">
        <v>3048.1000000000004</v>
      </c>
      <c r="H291" s="22">
        <v>2324.3000000000006</v>
      </c>
      <c r="I291" s="22">
        <v>13</v>
      </c>
      <c r="J291" s="22"/>
      <c r="K291" s="42"/>
      <c r="L291" s="22"/>
      <c r="M291" s="22"/>
      <c r="N291" s="19" cm="1">
        <f t="array" ref="N291">_xlfn.IFS(E291="MOLINOS CHAMPION S.F",42,E291="PROPALCOL",42,E291="MASTERTEC",42,E291="GANADERIA OVIA",42,E291="ENGORDE",40,E291="DESCARTES",40,E291="REPRODUCTORA",10,E291="BAJO PESO",40,E291="CHICKENCORP",42)</f>
        <v>10</v>
      </c>
      <c r="O291" s="41">
        <f t="shared" si="99"/>
        <v>0.76254059906171068</v>
      </c>
      <c r="P291" s="42">
        <f t="shared" si="100"/>
        <v>234.46923076923079</v>
      </c>
      <c r="Q291" s="42">
        <f t="shared" si="101"/>
        <v>178.79230769230773</v>
      </c>
      <c r="R291" s="42">
        <f t="shared" si="102"/>
        <v>1</v>
      </c>
      <c r="S291" s="22">
        <v>28</v>
      </c>
      <c r="T291" s="23">
        <v>0.56597222222222221</v>
      </c>
      <c r="U291" s="23">
        <v>0.65277777777777779</v>
      </c>
      <c r="V291" s="23"/>
      <c r="W291" s="23"/>
      <c r="X291" s="22"/>
      <c r="Y291" s="22"/>
      <c r="Z291" s="22"/>
      <c r="AA291" s="46">
        <f t="shared" si="91"/>
        <v>1.3</v>
      </c>
      <c r="AB291" s="47">
        <f t="shared" si="92"/>
        <v>2.0833333333333335</v>
      </c>
      <c r="AC291" s="47">
        <f t="shared" si="93"/>
        <v>0.78333333333333344</v>
      </c>
      <c r="AD291" s="48">
        <f t="shared" si="94"/>
        <v>6.2399999999999993</v>
      </c>
      <c r="AE291" s="46">
        <f t="shared" si="95"/>
        <v>39.85</v>
      </c>
      <c r="AF291" s="49">
        <f t="shared" si="96"/>
        <v>0.39743589743589736</v>
      </c>
      <c r="AG291" s="49">
        <f t="shared" si="97"/>
        <v>0.62399999999999989</v>
      </c>
      <c r="AH291" s="71">
        <f t="shared" si="98"/>
        <v>0.24799999999999991</v>
      </c>
    </row>
    <row r="292" spans="1:34" x14ac:dyDescent="0.25">
      <c r="A292" s="22">
        <v>35</v>
      </c>
      <c r="B292" s="24">
        <v>46258</v>
      </c>
      <c r="C292" s="1" t="s">
        <v>34</v>
      </c>
      <c r="D292" s="1">
        <v>5470</v>
      </c>
      <c r="E292" s="1" t="s">
        <v>35</v>
      </c>
      <c r="F292" s="31" t="s">
        <v>36</v>
      </c>
      <c r="G292" s="22">
        <v>6761.7999999999984</v>
      </c>
      <c r="H292" s="22">
        <v>5069.05</v>
      </c>
      <c r="I292" s="22">
        <v>60</v>
      </c>
      <c r="J292" s="22">
        <v>0</v>
      </c>
      <c r="K292" s="42"/>
      <c r="L292" s="22"/>
      <c r="M292" s="22"/>
      <c r="N292" s="19" cm="1">
        <f t="array" ref="N292">_xlfn.IFS(E292="MOLINOS CHAMPION S.F",42,E292="PROPALCOL",42,E292="MASTERTEC",42,E292="GANADERIA OVIA",42,E292="ENGORDE",40,E292="DESCARTES",40,E292="REPRODUCTORA",10,E292="BAJO PESO",40,E292="CHICKENCORP",42)</f>
        <v>42</v>
      </c>
      <c r="O292" s="41">
        <f t="shared" si="99"/>
        <v>0.7496598538850604</v>
      </c>
      <c r="P292" s="42">
        <f t="shared" si="100"/>
        <v>112.69666666666664</v>
      </c>
      <c r="Q292" s="42">
        <f t="shared" si="101"/>
        <v>84.484166666666667</v>
      </c>
      <c r="R292" s="42">
        <f t="shared" si="102"/>
        <v>1</v>
      </c>
      <c r="S292" s="22">
        <v>28</v>
      </c>
      <c r="T292" s="23">
        <v>0.29166666666666669</v>
      </c>
      <c r="U292" s="23">
        <v>0.38541666666666669</v>
      </c>
      <c r="V292" s="23"/>
      <c r="W292" s="23"/>
      <c r="X292" s="22"/>
      <c r="Y292" s="22"/>
      <c r="Z292" s="22"/>
      <c r="AA292" s="46">
        <f t="shared" si="91"/>
        <v>1.4285714285714286</v>
      </c>
      <c r="AB292" s="47">
        <f t="shared" si="92"/>
        <v>2.25</v>
      </c>
      <c r="AC292" s="47">
        <f t="shared" si="93"/>
        <v>0.8214285714285714</v>
      </c>
      <c r="AD292" s="48">
        <f t="shared" si="94"/>
        <v>26.666666666666668</v>
      </c>
      <c r="AE292" s="46">
        <f t="shared" si="95"/>
        <v>80.459999999999994</v>
      </c>
      <c r="AF292" s="49">
        <f t="shared" si="96"/>
        <v>0.42500000000000004</v>
      </c>
      <c r="AG292" s="49">
        <f t="shared" si="97"/>
        <v>0.634920634920635</v>
      </c>
      <c r="AH292" s="71">
        <f t="shared" si="98"/>
        <v>0.26984126984126988</v>
      </c>
    </row>
    <row r="293" spans="1:34" x14ac:dyDescent="0.25">
      <c r="A293" s="22">
        <v>35</v>
      </c>
      <c r="B293" s="24">
        <v>46258</v>
      </c>
      <c r="C293" s="22" t="s">
        <v>34</v>
      </c>
      <c r="D293" s="22">
        <v>274</v>
      </c>
      <c r="E293" s="22" t="s">
        <v>37</v>
      </c>
      <c r="F293" s="22" t="s">
        <v>36</v>
      </c>
      <c r="G293" s="22">
        <v>18697.2</v>
      </c>
      <c r="H293" s="22">
        <v>15472.299999999994</v>
      </c>
      <c r="I293" s="22">
        <v>162</v>
      </c>
      <c r="J293" s="22">
        <v>1</v>
      </c>
      <c r="K293" s="42" t="s">
        <v>62</v>
      </c>
      <c r="L293" s="22"/>
      <c r="M293" s="22"/>
      <c r="N293" s="19" cm="1">
        <f t="array" ref="N293">_xlfn.IFS(E293="MOLINOS CHAMPION S.F",42,E293="PROPALCOL",42,E293="MASTERTEC",42,E293="GANADERIA OVIA",42,E293="ENGORDE",40,E293="DESCARTES",40,E293="REPRODUCTORA",10,E293="BAJO PESO",40,E293="CHICKENCORP",42)</f>
        <v>40</v>
      </c>
      <c r="O293" s="41">
        <f t="shared" si="99"/>
        <v>0.82751962860749162</v>
      </c>
      <c r="P293" s="42">
        <f t="shared" si="100"/>
        <v>115.41481481481482</v>
      </c>
      <c r="Q293" s="42">
        <f t="shared" si="101"/>
        <v>95.508024691357988</v>
      </c>
      <c r="R293" s="42">
        <f t="shared" si="102"/>
        <v>0.99382716049382713</v>
      </c>
      <c r="S293" s="22">
        <v>28</v>
      </c>
      <c r="T293" s="23">
        <v>0.36458333333333331</v>
      </c>
      <c r="U293" s="23">
        <v>0.62638888888888888</v>
      </c>
      <c r="V293" s="23"/>
      <c r="W293" s="23"/>
      <c r="X293" s="22"/>
      <c r="Y293" s="22"/>
      <c r="Z293" s="22">
        <v>1</v>
      </c>
      <c r="AA293" s="46">
        <f t="shared" si="91"/>
        <v>4.05</v>
      </c>
      <c r="AB293" s="47">
        <f t="shared" si="92"/>
        <v>5.2833333333333332</v>
      </c>
      <c r="AC293" s="47">
        <f t="shared" si="93"/>
        <v>1.2333333333333334</v>
      </c>
      <c r="AD293" s="48">
        <f t="shared" si="94"/>
        <v>30.662460567823345</v>
      </c>
      <c r="AE293" s="46">
        <f t="shared" si="95"/>
        <v>104.59</v>
      </c>
      <c r="AF293" s="49">
        <f t="shared" si="96"/>
        <v>0.69547325102880653</v>
      </c>
      <c r="AG293" s="49">
        <f t="shared" si="97"/>
        <v>0.7665615141955836</v>
      </c>
      <c r="AH293" s="71">
        <f t="shared" si="98"/>
        <v>0.52983214549986357</v>
      </c>
    </row>
    <row r="294" spans="1:34" x14ac:dyDescent="0.25">
      <c r="A294" s="22">
        <v>35</v>
      </c>
      <c r="B294" s="24">
        <v>46259</v>
      </c>
      <c r="C294" s="1" t="s">
        <v>34</v>
      </c>
      <c r="D294" s="1">
        <v>5470</v>
      </c>
      <c r="E294" s="1" t="s">
        <v>35</v>
      </c>
      <c r="F294" s="31" t="s">
        <v>36</v>
      </c>
      <c r="G294" s="22">
        <v>6904.9</v>
      </c>
      <c r="H294" s="22">
        <v>5153.1530000000021</v>
      </c>
      <c r="I294" s="22">
        <v>60</v>
      </c>
      <c r="J294" s="22">
        <v>2</v>
      </c>
      <c r="K294" s="42" t="s">
        <v>62</v>
      </c>
      <c r="L294" s="22"/>
      <c r="M294" s="22"/>
      <c r="N294" s="19" cm="1">
        <f t="array" ref="N294">_xlfn.IFS(E294="MOLINOS CHAMPION S.F",42,E294="PROPALCOL",42,E294="MASTERTEC",42,E294="GANADERIA OVIA",42,E294="ENGORDE",40,E294="DESCARTES",40,E294="REPRODUCTORA",10,E294="BAJO PESO",40,E294="CHICKENCORP",42)</f>
        <v>42</v>
      </c>
      <c r="O294" s="41">
        <f t="shared" si="99"/>
        <v>0.74630378426914257</v>
      </c>
      <c r="P294" s="42">
        <f t="shared" si="100"/>
        <v>115.08166666666666</v>
      </c>
      <c r="Q294" s="42">
        <f t="shared" si="101"/>
        <v>85.885883333333368</v>
      </c>
      <c r="R294" s="42">
        <f t="shared" si="102"/>
        <v>0.96666666666666667</v>
      </c>
      <c r="S294" s="22">
        <v>29</v>
      </c>
      <c r="T294" s="23">
        <v>0.29166666666666669</v>
      </c>
      <c r="U294" s="23">
        <v>0.375</v>
      </c>
      <c r="V294" s="23"/>
      <c r="W294" s="23"/>
      <c r="X294" s="22"/>
      <c r="Y294" s="22"/>
      <c r="Z294" s="22"/>
      <c r="AA294" s="46">
        <f t="shared" si="91"/>
        <v>1.4285714285714286</v>
      </c>
      <c r="AB294" s="47">
        <f t="shared" si="92"/>
        <v>2</v>
      </c>
      <c r="AC294" s="47">
        <f t="shared" si="93"/>
        <v>0.5714285714285714</v>
      </c>
      <c r="AD294" s="48">
        <f t="shared" si="94"/>
        <v>30</v>
      </c>
      <c r="AE294" s="46">
        <f t="shared" si="95"/>
        <v>88.85</v>
      </c>
      <c r="AF294" s="49">
        <f t="shared" si="96"/>
        <v>0.6</v>
      </c>
      <c r="AG294" s="49">
        <f t="shared" si="97"/>
        <v>0.7142857142857143</v>
      </c>
      <c r="AH294" s="71">
        <f t="shared" si="98"/>
        <v>0.41428571428571426</v>
      </c>
    </row>
    <row r="295" spans="1:34" x14ac:dyDescent="0.25">
      <c r="A295" s="22">
        <v>35</v>
      </c>
      <c r="B295" s="24">
        <v>46259</v>
      </c>
      <c r="C295" s="22" t="s">
        <v>34</v>
      </c>
      <c r="D295" s="22">
        <v>274</v>
      </c>
      <c r="E295" s="22" t="s">
        <v>37</v>
      </c>
      <c r="F295" s="22" t="s">
        <v>36</v>
      </c>
      <c r="G295" s="22">
        <v>25483.1</v>
      </c>
      <c r="H295" s="22">
        <v>20665.500000000015</v>
      </c>
      <c r="I295" s="22">
        <v>230</v>
      </c>
      <c r="J295" s="22">
        <v>7</v>
      </c>
      <c r="K295" s="42" t="s">
        <v>62</v>
      </c>
      <c r="L295" s="22"/>
      <c r="M295" s="22"/>
      <c r="N295" s="19" cm="1">
        <f t="array" ref="N295">_xlfn.IFS(E295="MOLINOS CHAMPION S.F",42,E295="PROPALCOL",42,E295="MASTERTEC",42,E295="GANADERIA OVIA",42,E295="ENGORDE",40,E295="DESCARTES",40,E295="REPRODUCTORA",10,E295="BAJO PESO",40,E295="CHICKENCORP",42)</f>
        <v>40</v>
      </c>
      <c r="O295" s="41">
        <f t="shared" si="99"/>
        <v>0.81094921732442349</v>
      </c>
      <c r="P295" s="42">
        <f t="shared" si="100"/>
        <v>110.79608695652173</v>
      </c>
      <c r="Q295" s="42">
        <f t="shared" si="101"/>
        <v>89.850000000000065</v>
      </c>
      <c r="R295" s="42">
        <f t="shared" si="102"/>
        <v>0.9695652173913043</v>
      </c>
      <c r="S295" s="22">
        <v>29</v>
      </c>
      <c r="T295" s="23">
        <v>0.35069444444444442</v>
      </c>
      <c r="U295" s="23">
        <v>0.66666666666666663</v>
      </c>
      <c r="V295" s="23"/>
      <c r="W295" s="23"/>
      <c r="X295" s="22"/>
      <c r="Y295" s="22"/>
      <c r="Z295" s="22"/>
      <c r="AA295" s="46">
        <f t="shared" si="91"/>
        <v>5.75</v>
      </c>
      <c r="AB295" s="47">
        <f t="shared" si="92"/>
        <v>7.583333333333333</v>
      </c>
      <c r="AC295" s="47">
        <f t="shared" si="93"/>
        <v>1.833333333333333</v>
      </c>
      <c r="AD295" s="48">
        <f t="shared" si="94"/>
        <v>30.329670329670332</v>
      </c>
      <c r="AE295" s="46">
        <f t="shared" si="95"/>
        <v>93.97</v>
      </c>
      <c r="AF295" s="49">
        <f t="shared" si="96"/>
        <v>0.6811594202898551</v>
      </c>
      <c r="AG295" s="49">
        <f t="shared" si="97"/>
        <v>0.75824175824175832</v>
      </c>
      <c r="AH295" s="71">
        <f t="shared" si="98"/>
        <v>0.50076445293836602</v>
      </c>
    </row>
    <row r="296" spans="1:34" x14ac:dyDescent="0.25">
      <c r="A296" s="22">
        <v>35</v>
      </c>
      <c r="B296" s="24">
        <v>46260</v>
      </c>
      <c r="C296" s="1" t="s">
        <v>34</v>
      </c>
      <c r="D296" s="1">
        <v>5470</v>
      </c>
      <c r="E296" s="1" t="s">
        <v>35</v>
      </c>
      <c r="F296" s="31" t="s">
        <v>36</v>
      </c>
      <c r="G296" s="22">
        <v>6872.0499999999993</v>
      </c>
      <c r="H296" s="22">
        <v>5151.55</v>
      </c>
      <c r="I296" s="22">
        <v>60</v>
      </c>
      <c r="J296" s="22">
        <v>2</v>
      </c>
      <c r="K296" s="42" t="s">
        <v>62</v>
      </c>
      <c r="L296" s="22"/>
      <c r="M296" s="22"/>
      <c r="N296" s="19" cm="1">
        <f t="array" ref="N296">_xlfn.IFS(E296="MOLINOS CHAMPION S.F",42,E296="PROPALCOL",42,E296="MASTERTEC",42,E296="GANADERIA OVIA",42,E296="ENGORDE",40,E296="DESCARTES",40,E296="REPRODUCTORA",10,E296="BAJO PESO",40,E296="CHICKENCORP",42)</f>
        <v>42</v>
      </c>
      <c r="O296" s="41">
        <f t="shared" si="99"/>
        <v>0.7496380264986432</v>
      </c>
      <c r="P296" s="42">
        <f t="shared" si="100"/>
        <v>114.53416666666665</v>
      </c>
      <c r="Q296" s="42">
        <f t="shared" si="101"/>
        <v>85.859166666666667</v>
      </c>
      <c r="R296" s="42">
        <f t="shared" si="102"/>
        <v>0.96666666666666667</v>
      </c>
      <c r="S296" s="22">
        <v>29</v>
      </c>
      <c r="T296" s="23">
        <v>0.29166666666666669</v>
      </c>
      <c r="U296" s="23">
        <v>0.3923611111111111</v>
      </c>
      <c r="V296" s="23"/>
      <c r="W296" s="23"/>
      <c r="X296" s="22"/>
      <c r="Y296" s="22"/>
      <c r="Z296" s="22"/>
      <c r="AA296" s="46">
        <f t="shared" si="91"/>
        <v>1.4285714285714286</v>
      </c>
      <c r="AB296" s="47">
        <f t="shared" si="92"/>
        <v>2.4166666666666665</v>
      </c>
      <c r="AC296" s="47">
        <f t="shared" si="93"/>
        <v>0.98809523809523792</v>
      </c>
      <c r="AD296" s="48">
        <f t="shared" si="94"/>
        <v>24.827586206896552</v>
      </c>
      <c r="AE296" s="46">
        <f t="shared" si="95"/>
        <v>73.510000000000005</v>
      </c>
      <c r="AF296" s="49">
        <f t="shared" si="96"/>
        <v>0.30833333333333346</v>
      </c>
      <c r="AG296" s="49">
        <f t="shared" si="97"/>
        <v>0.59113300492610832</v>
      </c>
      <c r="AH296" s="71">
        <f t="shared" si="98"/>
        <v>0.17619047619047626</v>
      </c>
    </row>
    <row r="297" spans="1:34" x14ac:dyDescent="0.25">
      <c r="A297" s="22">
        <v>35</v>
      </c>
      <c r="B297" s="24">
        <v>46260</v>
      </c>
      <c r="C297" s="22" t="s">
        <v>34</v>
      </c>
      <c r="D297" s="22">
        <v>274</v>
      </c>
      <c r="E297" s="22" t="s">
        <v>37</v>
      </c>
      <c r="F297" s="22" t="s">
        <v>36</v>
      </c>
      <c r="G297" s="22">
        <v>21037.050000000003</v>
      </c>
      <c r="H297" s="22">
        <v>17183.799999999996</v>
      </c>
      <c r="I297" s="22">
        <v>180</v>
      </c>
      <c r="J297" s="22">
        <v>7</v>
      </c>
      <c r="K297" s="42" t="s">
        <v>62</v>
      </c>
      <c r="L297" s="22"/>
      <c r="M297" s="22"/>
      <c r="N297" s="19" cm="1">
        <f t="array" ref="N297">_xlfn.IFS(E297="MOLINOS CHAMPION S.F",42,E297="PROPALCOL",42,E297="MASTERTEC",42,E297="GANADERIA OVIA",42,E297="ENGORDE",40,E297="DESCARTES",40,E297="REPRODUCTORA",10,E297="BAJO PESO",40,E297="CHICKENCORP",42)</f>
        <v>40</v>
      </c>
      <c r="O297" s="41">
        <f t="shared" si="99"/>
        <v>0.81683506004881834</v>
      </c>
      <c r="P297" s="42">
        <f t="shared" si="100"/>
        <v>116.87250000000002</v>
      </c>
      <c r="Q297" s="42">
        <f t="shared" si="101"/>
        <v>95.465555555555525</v>
      </c>
      <c r="R297" s="42">
        <f t="shared" si="102"/>
        <v>0.96111111111111114</v>
      </c>
      <c r="S297" s="22">
        <v>29</v>
      </c>
      <c r="T297" s="23">
        <v>0.38541666666666669</v>
      </c>
      <c r="U297" s="23">
        <v>0.65277777777777779</v>
      </c>
      <c r="V297" s="23">
        <v>0.36458333333333331</v>
      </c>
      <c r="W297" s="23">
        <v>0.3840277777777778</v>
      </c>
      <c r="X297" s="22" t="s">
        <v>55</v>
      </c>
      <c r="Y297" s="22"/>
      <c r="Z297" s="22">
        <v>1</v>
      </c>
      <c r="AA297" s="46">
        <f t="shared" si="91"/>
        <v>4.5</v>
      </c>
      <c r="AB297" s="47">
        <f t="shared" si="92"/>
        <v>5.416666666666667</v>
      </c>
      <c r="AC297" s="47">
        <f t="shared" si="93"/>
        <v>0.91666666666666696</v>
      </c>
      <c r="AD297" s="48">
        <f t="shared" si="94"/>
        <v>33.230769230769226</v>
      </c>
      <c r="AE297" s="46">
        <f t="shared" si="95"/>
        <v>109.39</v>
      </c>
      <c r="AF297" s="49">
        <f t="shared" si="96"/>
        <v>0.79629629629629628</v>
      </c>
      <c r="AG297" s="49">
        <f t="shared" si="97"/>
        <v>0.8307692307692307</v>
      </c>
      <c r="AH297" s="71">
        <f t="shared" si="98"/>
        <v>0.63581196581196586</v>
      </c>
    </row>
    <row r="298" spans="1:34" x14ac:dyDescent="0.25">
      <c r="A298" s="22">
        <v>35</v>
      </c>
      <c r="B298" s="24">
        <v>46261</v>
      </c>
      <c r="C298" s="22" t="s">
        <v>34</v>
      </c>
      <c r="D298" s="22">
        <v>274</v>
      </c>
      <c r="E298" s="22" t="s">
        <v>37</v>
      </c>
      <c r="F298" s="22" t="s">
        <v>36</v>
      </c>
      <c r="G298" s="22">
        <v>23303.200000000001</v>
      </c>
      <c r="H298" s="22">
        <v>18599.799999999992</v>
      </c>
      <c r="I298" s="22">
        <v>205</v>
      </c>
      <c r="J298" s="22">
        <v>5</v>
      </c>
      <c r="K298" s="42" t="s">
        <v>62</v>
      </c>
      <c r="L298" s="22"/>
      <c r="M298" s="22"/>
      <c r="N298" s="19" cm="1">
        <f t="array" ref="N298">_xlfn.IFS(E298="MOLINOS CHAMPION S.F",42,E298="PROPALCOL",42,E298="MASTERTEC",42,E298="GANADERIA OVIA",42,E298="ENGORDE",40,E298="DESCARTES",40,E298="REPRODUCTORA",10,E298="BAJO PESO",40,E298="CHICKENCORP",42)</f>
        <v>40</v>
      </c>
      <c r="O298" s="41">
        <f t="shared" si="99"/>
        <v>0.79816505887603384</v>
      </c>
      <c r="P298" s="42">
        <f t="shared" si="100"/>
        <v>113.67414634146341</v>
      </c>
      <c r="Q298" s="42">
        <f t="shared" si="101"/>
        <v>90.730731707317034</v>
      </c>
      <c r="R298" s="42">
        <f t="shared" si="102"/>
        <v>0.97560975609756095</v>
      </c>
      <c r="S298" s="22">
        <v>28</v>
      </c>
      <c r="T298" s="23">
        <v>0.29166666666666669</v>
      </c>
      <c r="U298" s="23">
        <v>0.61111111111111116</v>
      </c>
      <c r="V298" s="23"/>
      <c r="W298" s="23"/>
      <c r="X298" s="22"/>
      <c r="Y298" s="22"/>
      <c r="Z298" s="22">
        <v>1</v>
      </c>
      <c r="AA298" s="46">
        <f t="shared" si="91"/>
        <v>5.125</v>
      </c>
      <c r="AB298" s="47">
        <f t="shared" si="92"/>
        <v>6.666666666666667</v>
      </c>
      <c r="AC298" s="47">
        <f t="shared" si="93"/>
        <v>1.541666666666667</v>
      </c>
      <c r="AD298" s="48">
        <f t="shared" si="94"/>
        <v>30.75</v>
      </c>
      <c r="AE298" s="46">
        <f t="shared" si="95"/>
        <v>99.64</v>
      </c>
      <c r="AF298" s="49">
        <f t="shared" si="96"/>
        <v>0.69918699186991862</v>
      </c>
      <c r="AG298" s="49">
        <f t="shared" si="97"/>
        <v>0.76875000000000004</v>
      </c>
      <c r="AH298" s="71">
        <f t="shared" si="98"/>
        <v>0.52439024390243894</v>
      </c>
    </row>
    <row r="299" spans="1:34" x14ac:dyDescent="0.25">
      <c r="A299" s="22">
        <v>35</v>
      </c>
      <c r="B299" s="24">
        <v>46261</v>
      </c>
      <c r="C299" s="17" t="s">
        <v>38</v>
      </c>
      <c r="D299" s="69"/>
      <c r="E299" s="17" t="s">
        <v>39</v>
      </c>
      <c r="F299" s="40" t="s">
        <v>42</v>
      </c>
      <c r="G299" s="22">
        <v>3344.4999999999995</v>
      </c>
      <c r="H299" s="22">
        <v>2534.0499999999997</v>
      </c>
      <c r="I299" s="22">
        <v>14</v>
      </c>
      <c r="J299" s="22"/>
      <c r="K299" s="42" t="s">
        <v>84</v>
      </c>
      <c r="L299" s="22"/>
      <c r="M299" s="22"/>
      <c r="N299" s="19" cm="1">
        <f t="array" ref="N299">_xlfn.IFS(E299="MOLINOS CHAMPION S.F",42,E299="PROPALCOL",42,E299="MASTERTEC",42,E299="GANADERIA OVIA",42,E299="ENGORDE",40,E299="DESCARTES",40,E299="REPRODUCTORA",10,E299="BAJO PESO",40,E299="CHICKENCORP",42)</f>
        <v>10</v>
      </c>
      <c r="O299" s="41">
        <f t="shared" si="99"/>
        <v>0.75767678277769479</v>
      </c>
      <c r="P299" s="42">
        <f t="shared" si="100"/>
        <v>238.89285714285711</v>
      </c>
      <c r="Q299" s="42">
        <f t="shared" si="101"/>
        <v>181.00357142857141</v>
      </c>
      <c r="R299" s="42">
        <f t="shared" si="102"/>
        <v>1</v>
      </c>
      <c r="S299" s="22">
        <v>28</v>
      </c>
      <c r="T299" s="23">
        <v>0.59027777777777779</v>
      </c>
      <c r="U299" s="23">
        <v>0.67361111111111116</v>
      </c>
      <c r="V299" s="23"/>
      <c r="W299" s="23"/>
      <c r="X299" s="22"/>
      <c r="Y299" s="22"/>
      <c r="Z299" s="22"/>
      <c r="AA299" s="46">
        <f t="shared" si="91"/>
        <v>1.4</v>
      </c>
      <c r="AB299" s="47">
        <f t="shared" si="92"/>
        <v>2</v>
      </c>
      <c r="AC299" s="47">
        <f t="shared" si="93"/>
        <v>0.60000000000000009</v>
      </c>
      <c r="AD299" s="48">
        <f t="shared" si="94"/>
        <v>7</v>
      </c>
      <c r="AE299" s="46">
        <f t="shared" si="95"/>
        <v>45.25</v>
      </c>
      <c r="AF299" s="49">
        <f t="shared" si="96"/>
        <v>0.57142857142857129</v>
      </c>
      <c r="AG299" s="49">
        <f t="shared" si="97"/>
        <v>0.7</v>
      </c>
      <c r="AH299" s="71">
        <f t="shared" si="98"/>
        <v>0.39999999999999986</v>
      </c>
    </row>
    <row r="300" spans="1:34" x14ac:dyDescent="0.25">
      <c r="A300" s="22">
        <v>35</v>
      </c>
      <c r="B300" s="24">
        <v>46262</v>
      </c>
      <c r="C300" s="22" t="s">
        <v>34</v>
      </c>
      <c r="D300" s="22">
        <v>274</v>
      </c>
      <c r="E300" s="22" t="s">
        <v>37</v>
      </c>
      <c r="F300" s="22" t="s">
        <v>36</v>
      </c>
      <c r="G300" s="22">
        <v>29412.5</v>
      </c>
      <c r="H300" s="22">
        <v>23975.400000000009</v>
      </c>
      <c r="I300" s="22">
        <v>240</v>
      </c>
      <c r="J300" s="22">
        <v>1</v>
      </c>
      <c r="K300" s="42" t="s">
        <v>62</v>
      </c>
      <c r="L300" s="22"/>
      <c r="M300" s="22"/>
      <c r="N300" s="19" cm="1">
        <f t="array" ref="N300">_xlfn.IFS(E300="MOLINOS CHAMPION S.F",42,E300="PROPALCOL",42,E300="MASTERTEC",42,E300="GANADERIA OVIA",42,E300="ENGORDE",40,E300="DESCARTES",40,E300="REPRODUCTORA",10,E300="BAJO PESO",40,E300="CHICKENCORP",42)</f>
        <v>40</v>
      </c>
      <c r="O300" s="41">
        <f t="shared" si="99"/>
        <v>0.81514322141946483</v>
      </c>
      <c r="P300" s="42">
        <f t="shared" si="100"/>
        <v>122.55208333333333</v>
      </c>
      <c r="Q300" s="42">
        <f t="shared" si="101"/>
        <v>99.897500000000036</v>
      </c>
      <c r="R300" s="42">
        <f t="shared" si="102"/>
        <v>0.99583333333333335</v>
      </c>
      <c r="S300" s="22">
        <v>29</v>
      </c>
      <c r="T300" s="23">
        <v>0.2951388888888889</v>
      </c>
      <c r="U300" s="23">
        <v>0.63194444444444442</v>
      </c>
      <c r="V300" s="23"/>
      <c r="W300" s="23"/>
      <c r="X300" s="22"/>
      <c r="Y300" s="22"/>
      <c r="Z300" s="22">
        <v>1</v>
      </c>
      <c r="AA300" s="46">
        <f t="shared" si="91"/>
        <v>6</v>
      </c>
      <c r="AB300" s="47">
        <f t="shared" si="92"/>
        <v>7.0833333333333339</v>
      </c>
      <c r="AC300" s="47">
        <f t="shared" si="93"/>
        <v>1.0833333333333339</v>
      </c>
      <c r="AD300" s="48">
        <f t="shared" si="94"/>
        <v>33.882352941176471</v>
      </c>
      <c r="AE300" s="46">
        <f t="shared" si="95"/>
        <v>116.72</v>
      </c>
      <c r="AF300" s="49">
        <f t="shared" si="96"/>
        <v>0.81944444444444431</v>
      </c>
      <c r="AG300" s="49">
        <f t="shared" si="97"/>
        <v>0.84705882352941175</v>
      </c>
      <c r="AH300" s="71">
        <f t="shared" si="98"/>
        <v>0.69122549019607837</v>
      </c>
    </row>
    <row r="301" spans="1:34" x14ac:dyDescent="0.25">
      <c r="A301" s="22">
        <v>36</v>
      </c>
      <c r="B301" s="24">
        <v>46265</v>
      </c>
      <c r="C301" s="22" t="s">
        <v>34</v>
      </c>
      <c r="D301" s="22">
        <v>274</v>
      </c>
      <c r="E301" s="22" t="s">
        <v>37</v>
      </c>
      <c r="F301" s="22" t="s">
        <v>36</v>
      </c>
      <c r="G301" s="22">
        <v>28333.9</v>
      </c>
      <c r="H301" s="22">
        <v>23279.100000000002</v>
      </c>
      <c r="I301" s="22">
        <v>240</v>
      </c>
      <c r="J301" s="22">
        <v>9</v>
      </c>
      <c r="K301" s="42" t="s">
        <v>62</v>
      </c>
      <c r="L301" s="22"/>
      <c r="M301" s="22"/>
      <c r="N301" s="19" cm="1">
        <f t="array" ref="N301">_xlfn.IFS(E301="MOLINOS CHAMPION S.F",42,E301="PROPALCOL",42,E301="MASTERTEC",42,E301="GANADERIA OVIA",42,E301="ENGORDE",40,E301="DESCARTES",40,E301="REPRODUCTORA",10,E301="BAJO PESO",40,E301="CHICKENCORP",42)</f>
        <v>40</v>
      </c>
      <c r="O301" s="41">
        <f t="shared" si="99"/>
        <v>0.82159886214040434</v>
      </c>
      <c r="P301" s="42">
        <f t="shared" si="100"/>
        <v>118.05791666666667</v>
      </c>
      <c r="Q301" s="42">
        <f t="shared" si="101"/>
        <v>96.996250000000003</v>
      </c>
      <c r="R301" s="42">
        <f t="shared" si="102"/>
        <v>0.96250000000000002</v>
      </c>
      <c r="S301" s="22">
        <v>27</v>
      </c>
      <c r="T301" s="23">
        <v>0.35416666666666669</v>
      </c>
      <c r="U301" s="23">
        <v>0.72222222222222221</v>
      </c>
      <c r="V301" s="23">
        <v>0.3263888888888889</v>
      </c>
      <c r="W301" s="23">
        <v>0.35416666666666669</v>
      </c>
      <c r="X301" s="22" t="s">
        <v>55</v>
      </c>
      <c r="Y301" s="22"/>
      <c r="Z301" s="22">
        <v>1</v>
      </c>
      <c r="AA301" s="46">
        <f t="shared" si="91"/>
        <v>6</v>
      </c>
      <c r="AB301" s="47">
        <f t="shared" si="92"/>
        <v>7.8333333333333339</v>
      </c>
      <c r="AC301" s="47">
        <f t="shared" si="93"/>
        <v>1.8333333333333339</v>
      </c>
      <c r="AD301" s="48">
        <f t="shared" si="94"/>
        <v>30.638297872340424</v>
      </c>
      <c r="AE301" s="46">
        <f t="shared" si="95"/>
        <v>110.07</v>
      </c>
      <c r="AF301" s="49">
        <f t="shared" si="96"/>
        <v>0.69444444444444431</v>
      </c>
      <c r="AG301" s="49">
        <f t="shared" si="97"/>
        <v>0.76595744680851063</v>
      </c>
      <c r="AH301" s="71">
        <f t="shared" si="98"/>
        <v>0.51196808510638292</v>
      </c>
    </row>
    <row r="302" spans="1:34" x14ac:dyDescent="0.25">
      <c r="A302" s="22">
        <v>36</v>
      </c>
      <c r="B302" s="24">
        <v>46266</v>
      </c>
      <c r="C302" s="1" t="s">
        <v>34</v>
      </c>
      <c r="D302" s="1">
        <v>5470</v>
      </c>
      <c r="E302" s="1" t="s">
        <v>35</v>
      </c>
      <c r="F302" s="31" t="s">
        <v>36</v>
      </c>
      <c r="G302" s="22">
        <v>6980.15</v>
      </c>
      <c r="H302" s="22">
        <v>5317.3000000000011</v>
      </c>
      <c r="I302" s="22">
        <v>60</v>
      </c>
      <c r="J302" s="22">
        <v>5</v>
      </c>
      <c r="K302" s="42" t="s">
        <v>62</v>
      </c>
      <c r="L302" s="22"/>
      <c r="M302" s="22"/>
      <c r="N302" s="19" cm="1">
        <f t="array" ref="N302">_xlfn.IFS(E302="MOLINOS CHAMPION S.F",42,E302="PROPALCOL",42,E302="MASTERTEC",42,E302="GANADERIA OVIA",42,E302="ENGORDE",40,E302="DESCARTES",40,E302="REPRODUCTORA",10,E302="BAJO PESO",40,E302="CHICKENCORP",42)</f>
        <v>42</v>
      </c>
      <c r="O302" s="41">
        <f t="shared" si="99"/>
        <v>0.76177446043423158</v>
      </c>
      <c r="P302" s="42">
        <f t="shared" si="100"/>
        <v>116.33583333333333</v>
      </c>
      <c r="Q302" s="42">
        <f t="shared" si="101"/>
        <v>88.621666666666684</v>
      </c>
      <c r="R302" s="42">
        <f t="shared" si="102"/>
        <v>0.91666666666666663</v>
      </c>
      <c r="S302" s="22">
        <v>27</v>
      </c>
      <c r="T302" s="23">
        <v>0.33333333333333331</v>
      </c>
      <c r="U302" s="23">
        <v>0.43402777777777779</v>
      </c>
      <c r="V302" s="23"/>
      <c r="W302" s="23"/>
      <c r="X302" s="22"/>
      <c r="Y302" s="22"/>
      <c r="Z302" s="22"/>
      <c r="AA302" s="46">
        <f t="shared" ref="AA302:AA312" si="103">I302/N302</f>
        <v>1.4285714285714286</v>
      </c>
      <c r="AB302" s="47">
        <f t="shared" ref="AB302:AB312" si="104">(HOUR(U302-T302)+MINUTE(U302-T302)/60)-Z302-Y302</f>
        <v>2.4166666666666665</v>
      </c>
      <c r="AC302" s="47">
        <f t="shared" ref="AC302:AC312" si="105">IF(AB302&gt;AA302,AB302-AA302,0)</f>
        <v>0.98809523809523792</v>
      </c>
      <c r="AD302" s="48">
        <f t="shared" ref="AD302:AD312" si="106">I302/AB302</f>
        <v>24.827586206896552</v>
      </c>
      <c r="AE302" s="46">
        <f t="shared" ref="AE302:AE312" si="107">ROUND(H302/AB302/S302,2)</f>
        <v>81.489999999999995</v>
      </c>
      <c r="AF302" s="49">
        <f t="shared" ref="AF302:AF312" si="108">IF(AA302-AC302-Y302&lt;0,0,(AA302-AC302-Y302)/AA302)</f>
        <v>0.30833333333333346</v>
      </c>
      <c r="AG302" s="49">
        <f t="shared" ref="AG302:AG312" si="109">IFERROR(MIN(AD302/N302,1),0)</f>
        <v>0.59113300492610832</v>
      </c>
      <c r="AH302" s="71">
        <f t="shared" ref="AH302:AH312" si="110">R302*AF302*AG302</f>
        <v>0.1670771756978654</v>
      </c>
    </row>
    <row r="303" spans="1:34" x14ac:dyDescent="0.25">
      <c r="A303" s="22">
        <v>36</v>
      </c>
      <c r="B303" s="24">
        <v>46266</v>
      </c>
      <c r="C303" s="22" t="s">
        <v>34</v>
      </c>
      <c r="D303" s="22">
        <v>274</v>
      </c>
      <c r="E303" s="22" t="s">
        <v>37</v>
      </c>
      <c r="F303" s="22" t="s">
        <v>36</v>
      </c>
      <c r="G303" s="22">
        <v>22983.95</v>
      </c>
      <c r="H303" s="22">
        <v>18622.25</v>
      </c>
      <c r="I303" s="22">
        <v>210</v>
      </c>
      <c r="J303" s="22">
        <v>3</v>
      </c>
      <c r="K303" s="42" t="s">
        <v>62</v>
      </c>
      <c r="L303" s="22"/>
      <c r="M303" s="22"/>
      <c r="N303" s="19" cm="1">
        <f t="array" ref="N303">_xlfn.IFS(E303="MOLINOS CHAMPION S.F",42,E303="PROPALCOL",42,E303="MASTERTEC",42,E303="GANADERIA OVIA",42,E303="ENGORDE",40,E303="DESCARTES",40,E303="REPRODUCTORA",10,E303="BAJO PESO",40,E303="CHICKENCORP",42)</f>
        <v>40</v>
      </c>
      <c r="O303" s="41">
        <f t="shared" si="99"/>
        <v>0.81022844202149757</v>
      </c>
      <c r="P303" s="42">
        <f t="shared" si="100"/>
        <v>109.44738095238095</v>
      </c>
      <c r="Q303" s="42">
        <f t="shared" si="101"/>
        <v>88.677380952380958</v>
      </c>
      <c r="R303" s="42">
        <f t="shared" si="102"/>
        <v>0.98571428571428577</v>
      </c>
      <c r="S303" s="22">
        <v>27</v>
      </c>
      <c r="T303" s="23">
        <v>0.41319444444444442</v>
      </c>
      <c r="U303" s="23">
        <v>0.73263888888888884</v>
      </c>
      <c r="V303" s="23"/>
      <c r="W303" s="23"/>
      <c r="X303" s="22"/>
      <c r="Y303" s="22"/>
      <c r="Z303" s="22">
        <v>1</v>
      </c>
      <c r="AA303" s="46">
        <f t="shared" si="103"/>
        <v>5.25</v>
      </c>
      <c r="AB303" s="47">
        <f t="shared" si="104"/>
        <v>6.666666666666667</v>
      </c>
      <c r="AC303" s="47">
        <f t="shared" si="105"/>
        <v>1.416666666666667</v>
      </c>
      <c r="AD303" s="48">
        <f t="shared" si="106"/>
        <v>31.5</v>
      </c>
      <c r="AE303" s="46">
        <f t="shared" si="107"/>
        <v>103.46</v>
      </c>
      <c r="AF303" s="49">
        <f t="shared" si="108"/>
        <v>0.73015873015873012</v>
      </c>
      <c r="AG303" s="49">
        <f t="shared" si="109"/>
        <v>0.78749999999999998</v>
      </c>
      <c r="AH303" s="71">
        <f t="shared" si="110"/>
        <v>0.56678571428571434</v>
      </c>
    </row>
    <row r="304" spans="1:34" x14ac:dyDescent="0.25">
      <c r="A304" s="22">
        <v>36</v>
      </c>
      <c r="B304" s="24">
        <v>46267</v>
      </c>
      <c r="C304" s="1" t="s">
        <v>34</v>
      </c>
      <c r="D304" s="1">
        <v>5470</v>
      </c>
      <c r="E304" s="1" t="s">
        <v>35</v>
      </c>
      <c r="F304" s="31" t="s">
        <v>36</v>
      </c>
      <c r="G304" s="22">
        <v>6971.7499999999973</v>
      </c>
      <c r="H304" s="22">
        <v>5292.95</v>
      </c>
      <c r="I304" s="22">
        <v>60</v>
      </c>
      <c r="J304" s="22">
        <v>5</v>
      </c>
      <c r="K304" s="42" t="s">
        <v>62</v>
      </c>
      <c r="L304" s="22"/>
      <c r="M304" s="22"/>
      <c r="N304" s="19" cm="1">
        <f t="array" ref="N304">_xlfn.IFS(E304="MOLINOS CHAMPION S.F",42,E304="PROPALCOL",42,E304="MASTERTEC",42,E304="GANADERIA OVIA",42,E304="ENGORDE",40,E304="DESCARTES",40,E304="REPRODUCTORA",10,E304="BAJO PESO",40,E304="CHICKENCORP",42)</f>
        <v>42</v>
      </c>
      <c r="O304" s="41">
        <f t="shared" si="99"/>
        <v>0.75919962706637534</v>
      </c>
      <c r="P304" s="42">
        <f t="shared" si="100"/>
        <v>116.19583333333328</v>
      </c>
      <c r="Q304" s="42">
        <f t="shared" si="101"/>
        <v>88.215833333333336</v>
      </c>
      <c r="R304" s="42">
        <f t="shared" si="102"/>
        <v>0.91666666666666663</v>
      </c>
      <c r="S304" s="22">
        <v>28</v>
      </c>
      <c r="T304" s="23">
        <v>0.33333333333333331</v>
      </c>
      <c r="U304" s="23">
        <v>0.42291666666666666</v>
      </c>
      <c r="V304" s="23"/>
      <c r="W304" s="23"/>
      <c r="X304" s="22"/>
      <c r="Y304" s="22"/>
      <c r="Z304" s="22"/>
      <c r="AA304" s="46">
        <f t="shared" si="103"/>
        <v>1.4285714285714286</v>
      </c>
      <c r="AB304" s="47">
        <f t="shared" si="104"/>
        <v>2.15</v>
      </c>
      <c r="AC304" s="47">
        <f t="shared" si="105"/>
        <v>0.72142857142857131</v>
      </c>
      <c r="AD304" s="48">
        <f t="shared" si="106"/>
        <v>27.906976744186046</v>
      </c>
      <c r="AE304" s="46">
        <f t="shared" si="107"/>
        <v>87.92</v>
      </c>
      <c r="AF304" s="49">
        <f t="shared" si="108"/>
        <v>0.49500000000000011</v>
      </c>
      <c r="AG304" s="49">
        <f t="shared" si="109"/>
        <v>0.66445182724252494</v>
      </c>
      <c r="AH304" s="71">
        <f t="shared" si="110"/>
        <v>0.30149501661129574</v>
      </c>
    </row>
    <row r="305" spans="1:34" x14ac:dyDescent="0.25">
      <c r="A305" s="22">
        <v>36</v>
      </c>
      <c r="B305" s="24">
        <v>46267</v>
      </c>
      <c r="C305" s="22" t="s">
        <v>34</v>
      </c>
      <c r="D305" s="22">
        <v>274</v>
      </c>
      <c r="E305" s="22" t="s">
        <v>37</v>
      </c>
      <c r="F305" s="22" t="s">
        <v>36</v>
      </c>
      <c r="G305" s="22">
        <v>24432.750000000004</v>
      </c>
      <c r="H305" s="22">
        <v>19803.950000000004</v>
      </c>
      <c r="I305" s="22">
        <v>212</v>
      </c>
      <c r="J305" s="22">
        <v>7</v>
      </c>
      <c r="K305" s="42" t="s">
        <v>62</v>
      </c>
      <c r="L305" s="22"/>
      <c r="M305" s="22"/>
      <c r="N305" s="19" cm="1">
        <f t="array" ref="N305">_xlfn.IFS(E305="MOLINOS CHAMPION S.F",42,E305="PROPALCOL",42,E305="MASTERTEC",42,E305="GANADERIA OVIA",42,E305="ENGORDE",40,E305="DESCARTES",40,E305="REPRODUCTORA",10,E305="BAJO PESO",40,E305="CHICKENCORP",42)</f>
        <v>40</v>
      </c>
      <c r="O305" s="41">
        <f t="shared" si="99"/>
        <v>0.81054936509398257</v>
      </c>
      <c r="P305" s="42">
        <f t="shared" si="100"/>
        <v>115.248820754717</v>
      </c>
      <c r="Q305" s="42">
        <f t="shared" si="101"/>
        <v>93.414858490566061</v>
      </c>
      <c r="R305" s="42">
        <f t="shared" si="102"/>
        <v>0.96698113207547165</v>
      </c>
      <c r="S305" s="22">
        <v>28</v>
      </c>
      <c r="T305" s="23">
        <v>0.40347222222222223</v>
      </c>
      <c r="U305" s="23">
        <v>0.71527777777777779</v>
      </c>
      <c r="V305" s="23"/>
      <c r="W305" s="23"/>
      <c r="X305" s="22"/>
      <c r="Y305" s="22"/>
      <c r="Z305" s="22">
        <v>1</v>
      </c>
      <c r="AA305" s="46">
        <f t="shared" si="103"/>
        <v>5.3</v>
      </c>
      <c r="AB305" s="47">
        <f t="shared" si="104"/>
        <v>6.4833333333333334</v>
      </c>
      <c r="AC305" s="47">
        <f t="shared" si="105"/>
        <v>1.1833333333333336</v>
      </c>
      <c r="AD305" s="48">
        <f t="shared" si="106"/>
        <v>32.699228791773777</v>
      </c>
      <c r="AE305" s="46">
        <f t="shared" si="107"/>
        <v>109.09</v>
      </c>
      <c r="AF305" s="49">
        <f t="shared" si="108"/>
        <v>0.77672955974842761</v>
      </c>
      <c r="AG305" s="49">
        <f t="shared" si="109"/>
        <v>0.81748071979434445</v>
      </c>
      <c r="AH305" s="71">
        <f t="shared" si="110"/>
        <v>0.61399573167774157</v>
      </c>
    </row>
    <row r="306" spans="1:34" x14ac:dyDescent="0.25">
      <c r="A306" s="22">
        <v>36</v>
      </c>
      <c r="B306" s="24">
        <v>46268</v>
      </c>
      <c r="C306" s="1" t="s">
        <v>34</v>
      </c>
      <c r="D306" s="1">
        <v>5470</v>
      </c>
      <c r="E306" s="1" t="s">
        <v>35</v>
      </c>
      <c r="F306" s="31" t="s">
        <v>36</v>
      </c>
      <c r="G306" s="22">
        <v>6799.2500000000009</v>
      </c>
      <c r="H306" s="22">
        <v>5147.9500000000007</v>
      </c>
      <c r="I306" s="22">
        <v>60</v>
      </c>
      <c r="J306" s="22">
        <v>4</v>
      </c>
      <c r="K306" s="42" t="s">
        <v>62</v>
      </c>
      <c r="L306" s="22"/>
      <c r="M306" s="22"/>
      <c r="N306" s="19" cm="1">
        <f t="array" ref="N306">_xlfn.IFS(E306="MOLINOS CHAMPION S.F",42,E306="PROPALCOL",42,E306="MASTERTEC",42,E306="GANADERIA OVIA",42,E306="ENGORDE",40,E306="DESCARTES",40,E306="REPRODUCTORA",10,E306="BAJO PESO",40,E306="CHICKENCORP",42)</f>
        <v>42</v>
      </c>
      <c r="O306" s="41">
        <f t="shared" si="99"/>
        <v>0.75713497812258701</v>
      </c>
      <c r="P306" s="42">
        <f t="shared" si="100"/>
        <v>113.32083333333335</v>
      </c>
      <c r="Q306" s="42">
        <f t="shared" si="101"/>
        <v>85.799166666666679</v>
      </c>
      <c r="R306" s="42">
        <f t="shared" si="102"/>
        <v>0.93333333333333335</v>
      </c>
      <c r="S306" s="22">
        <v>28</v>
      </c>
      <c r="T306" s="23">
        <v>0.33333333333333331</v>
      </c>
      <c r="U306" s="23">
        <v>0.4201388888888889</v>
      </c>
      <c r="V306" s="23"/>
      <c r="W306" s="23"/>
      <c r="X306" s="22"/>
      <c r="Y306" s="22"/>
      <c r="Z306" s="22"/>
      <c r="AA306" s="46">
        <f t="shared" si="103"/>
        <v>1.4285714285714286</v>
      </c>
      <c r="AB306" s="47">
        <f t="shared" si="104"/>
        <v>2.0833333333333335</v>
      </c>
      <c r="AC306" s="47">
        <f t="shared" si="105"/>
        <v>0.65476190476190488</v>
      </c>
      <c r="AD306" s="48">
        <f t="shared" si="106"/>
        <v>28.799999999999997</v>
      </c>
      <c r="AE306" s="46">
        <f t="shared" si="107"/>
        <v>88.25</v>
      </c>
      <c r="AF306" s="49">
        <f t="shared" si="108"/>
        <v>0.54166666666666663</v>
      </c>
      <c r="AG306" s="49">
        <f t="shared" si="109"/>
        <v>0.68571428571428561</v>
      </c>
      <c r="AH306" s="71">
        <f t="shared" si="110"/>
        <v>0.34666666666666662</v>
      </c>
    </row>
    <row r="307" spans="1:34" x14ac:dyDescent="0.25">
      <c r="A307" s="22">
        <v>36</v>
      </c>
      <c r="B307" s="24">
        <v>46268</v>
      </c>
      <c r="C307" s="22" t="s">
        <v>34</v>
      </c>
      <c r="D307" s="22">
        <v>274</v>
      </c>
      <c r="E307" s="22" t="s">
        <v>37</v>
      </c>
      <c r="F307" s="22" t="s">
        <v>36</v>
      </c>
      <c r="G307" s="22">
        <v>16424.199999999997</v>
      </c>
      <c r="H307" s="22">
        <v>13036.049999999992</v>
      </c>
      <c r="I307" s="22">
        <v>183</v>
      </c>
      <c r="J307" s="22">
        <v>10</v>
      </c>
      <c r="K307" s="42" t="s">
        <v>62</v>
      </c>
      <c r="L307" s="22"/>
      <c r="M307" s="22"/>
      <c r="N307" s="19" cm="1">
        <f t="array" ref="N307">_xlfn.IFS(E307="MOLINOS CHAMPION S.F",42,E307="PROPALCOL",42,E307="MASTERTEC",42,E307="GANADERIA OVIA",42,E307="ENGORDE",40,E307="DESCARTES",40,E307="REPRODUCTORA",10,E307="BAJO PESO",40,E307="CHICKENCORP",42)</f>
        <v>40</v>
      </c>
      <c r="O307" s="41">
        <f t="shared" si="99"/>
        <v>0.79370989150156446</v>
      </c>
      <c r="P307" s="42">
        <f t="shared" si="100"/>
        <v>89.749726775956262</v>
      </c>
      <c r="Q307" s="42">
        <f t="shared" si="101"/>
        <v>71.235245901639303</v>
      </c>
      <c r="R307" s="42">
        <f t="shared" si="102"/>
        <v>0.94535519125683065</v>
      </c>
      <c r="S307" s="22">
        <v>28</v>
      </c>
      <c r="T307" s="23">
        <v>0.39930555555555558</v>
      </c>
      <c r="U307" s="23">
        <v>0.67361111111111116</v>
      </c>
      <c r="V307" s="23"/>
      <c r="W307" s="23"/>
      <c r="X307" s="22"/>
      <c r="Y307" s="22"/>
      <c r="Z307" s="22">
        <v>1</v>
      </c>
      <c r="AA307" s="46">
        <f t="shared" si="103"/>
        <v>4.5750000000000002</v>
      </c>
      <c r="AB307" s="47">
        <f t="shared" si="104"/>
        <v>5.583333333333333</v>
      </c>
      <c r="AC307" s="47">
        <f t="shared" si="105"/>
        <v>1.0083333333333329</v>
      </c>
      <c r="AD307" s="48">
        <f t="shared" si="106"/>
        <v>32.776119402985074</v>
      </c>
      <c r="AE307" s="46">
        <f t="shared" si="107"/>
        <v>83.39</v>
      </c>
      <c r="AF307" s="49">
        <f t="shared" si="108"/>
        <v>0.77959927140255025</v>
      </c>
      <c r="AG307" s="49">
        <f t="shared" si="109"/>
        <v>0.81940298507462683</v>
      </c>
      <c r="AH307" s="71">
        <f t="shared" si="110"/>
        <v>0.60389854008645316</v>
      </c>
    </row>
    <row r="308" spans="1:34" x14ac:dyDescent="0.25">
      <c r="A308" s="22">
        <v>36</v>
      </c>
      <c r="B308" s="24">
        <v>46268</v>
      </c>
      <c r="C308" s="17" t="s">
        <v>38</v>
      </c>
      <c r="D308" s="69"/>
      <c r="E308" s="17" t="s">
        <v>39</v>
      </c>
      <c r="F308" s="40" t="s">
        <v>42</v>
      </c>
      <c r="G308" s="22">
        <v>2566.1</v>
      </c>
      <c r="H308" s="22">
        <v>1893.5000000000002</v>
      </c>
      <c r="I308" s="22">
        <v>12</v>
      </c>
      <c r="J308" s="22"/>
      <c r="K308" s="42"/>
      <c r="L308" s="22"/>
      <c r="M308" s="22"/>
      <c r="N308" s="19" cm="1">
        <f t="array" ref="N308">_xlfn.IFS(E308="MOLINOS CHAMPION S.F",42,E308="PROPALCOL",42,E308="MASTERTEC",42,E308="GANADERIA OVIA",42,E308="ENGORDE",40,E308="DESCARTES",40,E308="REPRODUCTORA",10,E308="BAJO PESO",40,E308="CHICKENCORP",42)</f>
        <v>10</v>
      </c>
      <c r="O308" s="41">
        <f t="shared" si="99"/>
        <v>0.73789018354701696</v>
      </c>
      <c r="P308" s="42">
        <f t="shared" si="100"/>
        <v>213.84166666666667</v>
      </c>
      <c r="Q308" s="42">
        <f t="shared" si="101"/>
        <v>157.79166666666669</v>
      </c>
      <c r="R308" s="42">
        <f t="shared" si="102"/>
        <v>1</v>
      </c>
      <c r="S308" s="22">
        <v>28</v>
      </c>
      <c r="T308" s="23">
        <v>0.64930555555555558</v>
      </c>
      <c r="U308" s="23">
        <v>0.77083333333333337</v>
      </c>
      <c r="V308" s="23"/>
      <c r="W308" s="23"/>
      <c r="X308" s="22"/>
      <c r="Y308" s="22"/>
      <c r="Z308" s="22"/>
      <c r="AA308" s="46">
        <f t="shared" si="103"/>
        <v>1.2</v>
      </c>
      <c r="AB308" s="47">
        <f t="shared" si="104"/>
        <v>2.9166666666666665</v>
      </c>
      <c r="AC308" s="47">
        <f t="shared" si="105"/>
        <v>1.7166666666666666</v>
      </c>
      <c r="AD308" s="48">
        <f t="shared" si="106"/>
        <v>4.1142857142857148</v>
      </c>
      <c r="AE308" s="46">
        <f t="shared" si="107"/>
        <v>23.19</v>
      </c>
      <c r="AF308" s="49">
        <f t="shared" si="108"/>
        <v>0</v>
      </c>
      <c r="AG308" s="49">
        <f t="shared" si="109"/>
        <v>0.41142857142857148</v>
      </c>
      <c r="AH308" s="71">
        <f t="shared" si="110"/>
        <v>0</v>
      </c>
    </row>
    <row r="309" spans="1:34" x14ac:dyDescent="0.25">
      <c r="A309" s="22">
        <v>36</v>
      </c>
      <c r="B309" s="24">
        <v>46269</v>
      </c>
      <c r="C309" s="22" t="s">
        <v>34</v>
      </c>
      <c r="D309" s="22">
        <v>274</v>
      </c>
      <c r="E309" s="22" t="s">
        <v>37</v>
      </c>
      <c r="F309" s="22" t="s">
        <v>36</v>
      </c>
      <c r="G309" s="22">
        <v>13367.75</v>
      </c>
      <c r="H309" s="22">
        <v>10952.349999999997</v>
      </c>
      <c r="I309" s="22">
        <v>120</v>
      </c>
      <c r="J309" s="22">
        <v>6</v>
      </c>
      <c r="K309" s="42" t="s">
        <v>62</v>
      </c>
      <c r="L309" s="22"/>
      <c r="M309" s="22"/>
      <c r="N309" s="19" cm="1">
        <f t="array" ref="N309">_xlfn.IFS(E309="MOLINOS CHAMPION S.F",42,E309="PROPALCOL",42,E309="MASTERTEC",42,E309="GANADERIA OVIA",42,E309="ENGORDE",40,E309="DESCARTES",40,E309="REPRODUCTORA",10,E309="BAJO PESO",40,E309="CHICKENCORP",42)</f>
        <v>40</v>
      </c>
      <c r="O309" s="41">
        <f t="shared" si="99"/>
        <v>0.81931140244244516</v>
      </c>
      <c r="P309" s="42">
        <f t="shared" si="100"/>
        <v>111.39791666666666</v>
      </c>
      <c r="Q309" s="42">
        <f t="shared" si="101"/>
        <v>91.269583333333301</v>
      </c>
      <c r="R309" s="42">
        <f t="shared" si="102"/>
        <v>0.95</v>
      </c>
      <c r="S309" s="22">
        <v>28</v>
      </c>
      <c r="T309" s="23">
        <v>0.52083333333333337</v>
      </c>
      <c r="U309" s="23">
        <v>0.64583333333333337</v>
      </c>
      <c r="V309" s="23"/>
      <c r="W309" s="23"/>
      <c r="X309" s="22"/>
      <c r="Y309" s="22"/>
      <c r="Z309" s="22">
        <v>1</v>
      </c>
      <c r="AA309" s="46">
        <f t="shared" si="103"/>
        <v>3</v>
      </c>
      <c r="AB309" s="47">
        <f t="shared" si="104"/>
        <v>2</v>
      </c>
      <c r="AC309" s="47">
        <f t="shared" si="105"/>
        <v>0</v>
      </c>
      <c r="AD309" s="48">
        <f t="shared" si="106"/>
        <v>60</v>
      </c>
      <c r="AE309" s="46">
        <f t="shared" si="107"/>
        <v>195.58</v>
      </c>
      <c r="AF309" s="49">
        <f t="shared" si="108"/>
        <v>1</v>
      </c>
      <c r="AG309" s="49">
        <f t="shared" si="109"/>
        <v>1</v>
      </c>
      <c r="AH309" s="71">
        <f t="shared" si="110"/>
        <v>0.95</v>
      </c>
    </row>
    <row r="310" spans="1:34" x14ac:dyDescent="0.25">
      <c r="A310" s="22">
        <v>36</v>
      </c>
      <c r="B310" s="24">
        <v>46270</v>
      </c>
      <c r="C310" s="22" t="s">
        <v>34</v>
      </c>
      <c r="D310" s="22">
        <v>274</v>
      </c>
      <c r="E310" s="22" t="s">
        <v>37</v>
      </c>
      <c r="F310" s="22" t="s">
        <v>36</v>
      </c>
      <c r="G310" s="22">
        <v>20228.95</v>
      </c>
      <c r="H310" s="22">
        <v>16708.450000000004</v>
      </c>
      <c r="I310" s="22">
        <v>179</v>
      </c>
      <c r="J310" s="22">
        <v>7</v>
      </c>
      <c r="K310" s="42" t="s">
        <v>62</v>
      </c>
      <c r="L310" s="22"/>
      <c r="M310" s="22"/>
      <c r="N310" s="19" cm="1">
        <f t="array" ref="N310">_xlfn.IFS(E310="MOLINOS CHAMPION S.F",42,E310="PROPALCOL",42,E310="MASTERTEC",42,E310="GANADERIA OVIA",42,E310="ENGORDE",40,E310="DESCARTES",40,E310="REPRODUCTORA",10,E310="BAJO PESO",40,E310="CHICKENCORP",42)</f>
        <v>40</v>
      </c>
      <c r="O310" s="41">
        <f t="shared" ref="O310" si="111">IFERROR(H310/G310," ")</f>
        <v>0.82596724001987265</v>
      </c>
      <c r="P310" s="22">
        <f t="shared" si="100"/>
        <v>113.0108938547486</v>
      </c>
      <c r="Q310" s="22">
        <f t="shared" si="101"/>
        <v>93.343296089385504</v>
      </c>
      <c r="R310" s="22">
        <f t="shared" si="102"/>
        <v>0.96089385474860334</v>
      </c>
      <c r="S310" s="22">
        <v>34</v>
      </c>
      <c r="T310" s="23">
        <v>0.29166666666666669</v>
      </c>
      <c r="U310" s="23">
        <v>0.4826388888888889</v>
      </c>
      <c r="V310" s="23"/>
      <c r="W310" s="23"/>
      <c r="X310" s="22"/>
      <c r="Y310" s="22"/>
      <c r="Z310" s="22">
        <v>1</v>
      </c>
      <c r="AA310" s="46">
        <f t="shared" si="103"/>
        <v>4.4749999999999996</v>
      </c>
      <c r="AB310" s="47">
        <f t="shared" si="104"/>
        <v>3.583333333333333</v>
      </c>
      <c r="AC310" s="47">
        <f t="shared" si="105"/>
        <v>0</v>
      </c>
      <c r="AD310" s="48">
        <f t="shared" si="106"/>
        <v>49.953488372093027</v>
      </c>
      <c r="AE310" s="46">
        <f t="shared" si="107"/>
        <v>137.13999999999999</v>
      </c>
      <c r="AF310" s="49">
        <f t="shared" si="108"/>
        <v>1</v>
      </c>
      <c r="AG310" s="49">
        <f t="shared" si="109"/>
        <v>1</v>
      </c>
      <c r="AH310" s="71">
        <f t="shared" si="110"/>
        <v>0.96089385474860334</v>
      </c>
    </row>
    <row r="311" spans="1:34" x14ac:dyDescent="0.25">
      <c r="A311" s="66"/>
      <c r="B311" s="81"/>
      <c r="C311" s="66"/>
      <c r="D311" s="66"/>
      <c r="E311" s="66"/>
      <c r="F311" s="66"/>
      <c r="G311" s="66"/>
      <c r="H311" s="66"/>
      <c r="I311" s="66"/>
      <c r="J311" s="66"/>
      <c r="K311" s="67"/>
      <c r="L311" s="66"/>
      <c r="M311" s="66"/>
      <c r="N311" s="66"/>
      <c r="O311" s="66"/>
      <c r="P311" s="66"/>
      <c r="Q311" s="66"/>
      <c r="R311" s="66"/>
      <c r="S311" s="66"/>
      <c r="T311" s="82"/>
      <c r="U311" s="82"/>
      <c r="V311" s="82"/>
      <c r="W311" s="82"/>
      <c r="X311" s="66"/>
      <c r="Y311" s="66"/>
      <c r="Z311" s="66"/>
      <c r="AA311" s="83" t="e">
        <f t="shared" ref="AA311" si="112">I311/N311</f>
        <v>#DIV/0!</v>
      </c>
      <c r="AB311" s="84">
        <f t="shared" ref="AB311" si="113">(HOUR(U311-T311)+MINUTE(U311-T311)/60)-Z311-Y311</f>
        <v>0</v>
      </c>
      <c r="AC311" s="84" t="e">
        <f t="shared" ref="AC311" si="114">IF(AB311&gt;AA311,AB311-AA311,0)</f>
        <v>#DIV/0!</v>
      </c>
      <c r="AD311" s="85" t="e">
        <f t="shared" ref="AD311" si="115">I311/AB311</f>
        <v>#DIV/0!</v>
      </c>
      <c r="AE311" s="83" t="e">
        <f t="shared" ref="AE311" si="116">ROUND(H311/AB311/S311,2)</f>
        <v>#DIV/0!</v>
      </c>
      <c r="AF311" s="86" t="e">
        <f t="shared" ref="AF311" si="117">IF(AA311-AC311-Y311&lt;0,0,(AA311-AC311-Y311)/AA311)</f>
        <v>#DIV/0!</v>
      </c>
      <c r="AG311" s="86">
        <f t="shared" ref="AG311" si="118">IFERROR(MIN(AD311/N311,1),0)</f>
        <v>0</v>
      </c>
      <c r="AH311" s="86" t="e">
        <f t="shared" ref="AH311" si="119">R311*AF311*AG311</f>
        <v>#DIV/0!</v>
      </c>
    </row>
    <row r="312" spans="1:34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46" t="e">
        <f t="shared" si="103"/>
        <v>#DIV/0!</v>
      </c>
      <c r="AB312" s="47">
        <f t="shared" si="104"/>
        <v>0</v>
      </c>
      <c r="AC312" s="47" t="e">
        <f t="shared" si="105"/>
        <v>#DIV/0!</v>
      </c>
      <c r="AD312" s="48" t="e">
        <f t="shared" si="106"/>
        <v>#DIV/0!</v>
      </c>
      <c r="AE312" s="46" t="e">
        <f t="shared" si="107"/>
        <v>#DIV/0!</v>
      </c>
      <c r="AF312" s="49" t="e">
        <f t="shared" si="108"/>
        <v>#DIV/0!</v>
      </c>
      <c r="AG312" s="49">
        <f t="shared" si="109"/>
        <v>0</v>
      </c>
      <c r="AH312" s="49" t="e">
        <f t="shared" si="110"/>
        <v>#DIV/0!</v>
      </c>
    </row>
  </sheetData>
  <phoneticPr fontId="6" type="noConversion"/>
  <dataValidations count="1">
    <dataValidation type="list" allowBlank="1" showInputMessage="1" showErrorMessage="1" sqref="F2:F187 F221:F222 F226 F228 F230 F232 F236 F238 F240:F242 F245 F247 F249:F252 F255 F257 F259:F262 F264 F266 F268 F270:F272 F274 F276 F278:F281 F283 F285 F287 F289:F290 F293 F295 F297:F298 F300:F301 F303 F305 F307 F309:F1048576" xr:uid="{BE394782-EAA0-4DAE-B518-598B8311FFD2}">
      <formula1>"PP CANAL DE CERDO EVISCERADO"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E19010-2255-4C0B-9333-D3FED7FE9387}">
          <x14:formula1>
            <xm:f>#REF!</xm:f>
          </x14:formula1>
          <xm:sqref>E2:E1048576</xm:sqref>
        </x14:dataValidation>
        <x14:dataValidation type="list" allowBlank="1" showInputMessage="1" showErrorMessage="1" xr:uid="{52930508-4110-4061-8C08-35C4FD66D827}">
          <x14:formula1>
            <xm:f>#REF!</xm:f>
          </x14:formula1>
          <xm:sqref>X221:Y1048576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4bf2c9-4cec-445d-81ee-d60be584fc3b">
      <Terms xmlns="http://schemas.microsoft.com/office/infopath/2007/PartnerControls"/>
    </lcf76f155ced4ddcb4097134ff3c332f>
    <TaxCatchAll xmlns="d05875f3-5771-464e-a55f-45a270d79c9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103F706FEB9E4EAB88C66AEC988E35" ma:contentTypeVersion="13" ma:contentTypeDescription="Crear nuevo documento." ma:contentTypeScope="" ma:versionID="82d984448fbd80186cd505fab8b69d08">
  <xsd:schema xmlns:xsd="http://www.w3.org/2001/XMLSchema" xmlns:xs="http://www.w3.org/2001/XMLSchema" xmlns:p="http://schemas.microsoft.com/office/2006/metadata/properties" xmlns:ns2="0c4bf2c9-4cec-445d-81ee-d60be584fc3b" xmlns:ns3="d05875f3-5771-464e-a55f-45a270d79c96" targetNamespace="http://schemas.microsoft.com/office/2006/metadata/properties" ma:root="true" ma:fieldsID="3bb01f228dd0f0f1796d06565753439d" ns2:_="" ns3:_="">
    <xsd:import namespace="0c4bf2c9-4cec-445d-81ee-d60be584fc3b"/>
    <xsd:import namespace="d05875f3-5771-464e-a55f-45a270d79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bf2c9-4cec-445d-81ee-d60be584fc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04a0d6d9-b67d-4e63-8df7-ecf1f75c3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875f3-5771-464e-a55f-45a270d79c9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3970963-6324-4aed-94fa-a7831e3dad9b}" ma:internalName="TaxCatchAll" ma:showField="CatchAllData" ma:web="d05875f3-5771-464e-a55f-45a270d79c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79F72A2-8D31-41B0-85A1-6B56FAA7BB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467512-ED41-4339-95C0-CB3166E98B31}">
  <ds:schemaRefs>
    <ds:schemaRef ds:uri="http://schemas.microsoft.com/office/2006/metadata/properties"/>
    <ds:schemaRef ds:uri="http://schemas.microsoft.com/office/infopath/2007/PartnerControls"/>
    <ds:schemaRef ds:uri="0c4bf2c9-4cec-445d-81ee-d60be584fc3b"/>
    <ds:schemaRef ds:uri="d05875f3-5771-464e-a55f-45a270d79c96"/>
  </ds:schemaRefs>
</ds:datastoreItem>
</file>

<file path=customXml/itemProps3.xml><?xml version="1.0" encoding="utf-8"?>
<ds:datastoreItem xmlns:ds="http://schemas.openxmlformats.org/officeDocument/2006/customXml" ds:itemID="{7AE05F08-0A8B-413C-B6BA-E1DC34E10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4bf2c9-4cec-445d-81ee-d60be584fc3b"/>
    <ds:schemaRef ds:uri="d05875f3-5771-464e-a55f-45a270d79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6EA3037-4B0D-4A5A-A153-1FFCE1AB1C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LÍNEA PRIMARIA - CERDOS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Allison Jaramillo</dc:creator>
  <cp:keywords/>
  <dc:description/>
  <cp:lastModifiedBy>Calidad Planta</cp:lastModifiedBy>
  <cp:revision/>
  <dcterms:created xsi:type="dcterms:W3CDTF">2026-02-05T03:59:53Z</dcterms:created>
  <dcterms:modified xsi:type="dcterms:W3CDTF">2026-09-08T17:05:23Z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0x010100B0103F706FEB9E4EAB88C66AEC988E35</vt:lpwstr>
  </property>
  <property fmtid="{D5CDD505-2E9C-101B-9397-08002B2CF9AE}" pid="3" name="MediaServiceImageTags">
    <vt:lpwstr/>
  </property>
</Properties>
</file>